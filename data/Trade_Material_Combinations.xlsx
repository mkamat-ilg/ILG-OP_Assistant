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ngesh\AI App\"/>
    </mc:Choice>
  </mc:AlternateContent>
  <xr:revisionPtr revIDLastSave="0" documentId="13_ncr:1_{955B855E-012C-4AEE-8A80-4129A6FDFDEA}" xr6:coauthVersionLast="47" xr6:coauthVersionMax="47" xr10:uidLastSave="{00000000-0000-0000-0000-000000000000}"/>
  <bookViews>
    <workbookView xWindow="0" yWindow="4680" windowWidth="36615" windowHeight="26490" tabRatio="827" firstSheet="1" activeTab="3" xr2:uid="{03870848-86A9-4A3A-A698-349A4F7326B1}"/>
  </bookViews>
  <sheets>
    <sheet name="Revision Log" sheetId="31" state="hidden" r:id="rId1"/>
    <sheet name="CARPET" sheetId="2" r:id="rId2"/>
    <sheet name="SAND AND FINISH AND POLY COAT" sheetId="9" state="hidden" r:id="rId3"/>
    <sheet name="LVP.EVP" sheetId="16" r:id="rId4"/>
    <sheet name="VCT.LVT.ETC" sheetId="13" state="hidden" r:id="rId5"/>
    <sheet name="WALL TILE" sheetId="15" r:id="rId6"/>
  </sheets>
  <externalReferences>
    <externalReference r:id="rId7"/>
    <externalReference r:id="rId8"/>
  </externalReferences>
  <definedNames>
    <definedName name="Level_1_Gluedown">[1]Price!#REF!</definedName>
    <definedName name="lgtile">[2]Sheet2!$B$2:$C$9</definedName>
    <definedName name="patterntile">[2]Sheet2!$E$2:$F$9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6" l="1"/>
  <c r="J7" i="16" s="1"/>
  <c r="J3" i="2"/>
  <c r="J8" i="15"/>
  <c r="J6" i="16"/>
  <c r="J5" i="16"/>
  <c r="J6" i="2"/>
  <c r="J4" i="2"/>
</calcChain>
</file>

<file path=xl/sharedStrings.xml><?xml version="1.0" encoding="utf-8"?>
<sst xmlns="http://schemas.openxmlformats.org/spreadsheetml/2006/main" count="277" uniqueCount="126">
  <si>
    <t>STANDARD TEMPLATE - WORK ORDER CHECK LIST</t>
  </si>
  <si>
    <t>BUILDER INFO-CONTACTS</t>
  </si>
  <si>
    <t>TOOLS</t>
  </si>
  <si>
    <t>OPTIONAL USE</t>
  </si>
  <si>
    <t>ACTIVITY</t>
  </si>
  <si>
    <t>BILLABLE (B)/NON-BILLABLE (N)</t>
  </si>
  <si>
    <t>SAP MATERIAL/LABOR NUMBER</t>
  </si>
  <si>
    <t>TRADE DESCRIPTION</t>
  </si>
  <si>
    <t>ROOM(S) - BILLABLE LINES (B) ONLY</t>
  </si>
  <si>
    <t>MATERIAL/LABOR DESCRIPTION</t>
  </si>
  <si>
    <t>BILLABLE QUANTITY</t>
  </si>
  <si>
    <t>UOM</t>
  </si>
  <si>
    <t>ACTUAL QUANTITY</t>
  </si>
  <si>
    <t>APPLICATIONS/WHEN TO ORDER</t>
  </si>
  <si>
    <t>CALCULATIONS/RATIOS</t>
  </si>
  <si>
    <t>NOTES</t>
  </si>
  <si>
    <t>CARPET</t>
  </si>
  <si>
    <t>PER SELECTIONS AND/OR PROGRAM</t>
  </si>
  <si>
    <t>ROOM TOTAL PER TAKE OFF</t>
  </si>
  <si>
    <t>CARPET LABOR</t>
  </si>
  <si>
    <t>PER LABOR CONSOLIDATION SPREADSHEET</t>
  </si>
  <si>
    <t>EA</t>
  </si>
  <si>
    <t>STAIR LABOR</t>
  </si>
  <si>
    <t>QTY 1 PER FLIGHT</t>
  </si>
  <si>
    <t>PER SUNDRY CALCULATOR/STOCK LIST</t>
  </si>
  <si>
    <t>PER SUNDRY CALCULATOR/BRANCH RATIO INSTRUCTION</t>
  </si>
  <si>
    <t>LF</t>
  </si>
  <si>
    <t>TRANSITIONS</t>
  </si>
  <si>
    <t>PER BUILDER SCOPE OF WORK</t>
  </si>
  <si>
    <t>CALCULATION SPECIFIC TO COLOR SELECTIONS AND PRODUCT TYPE</t>
  </si>
  <si>
    <t>YDS_0031 - OP COCKPIT - COPY/PASTE ZONE (REMOVE ID COLUMN FROM YSD_0031)</t>
  </si>
  <si>
    <t>BUILDER ACCOUNT DETAILS AND SCOPE OF WORK</t>
  </si>
  <si>
    <t>ADD INFORMATION HERE - BUILDER SPECIFIC PER ACCOUNT</t>
  </si>
  <si>
    <t>Date</t>
  </si>
  <si>
    <t>Update</t>
  </si>
  <si>
    <t>Version</t>
  </si>
  <si>
    <t>Updated tabs to fit large screens (working on update to macro down to smaller screen)</t>
  </si>
  <si>
    <t>Added note to hide ID column for Copy/Paste to function properly</t>
  </si>
  <si>
    <t>Updated Contacts Tab to include contact reasoning using Alisha’s breakdown (update as a group Thursday)</t>
  </si>
  <si>
    <t>SF</t>
  </si>
  <si>
    <r>
      <rPr>
        <u/>
        <sz val="11"/>
        <color theme="1"/>
        <rFont val="Calibri"/>
        <family val="2"/>
        <scheme val="minor"/>
      </rPr>
      <t>TAKE OFFS WITH NET SQUARE FOOTAGE LISTED</t>
    </r>
    <r>
      <rPr>
        <sz val="11"/>
        <color theme="1"/>
        <rFont val="Calibri"/>
        <family val="2"/>
        <scheme val="minor"/>
      </rPr>
      <t xml:space="preserve"> - ADD TOTAL OF NET SQUARE FOOTAGE COLUMN ON TAKE OFF</t>
    </r>
  </si>
  <si>
    <t>PROTECTION PER SPECIFICATION IF APPLICABLE</t>
  </si>
  <si>
    <t>MATERIAL/LABOR</t>
  </si>
  <si>
    <t>WOOD</t>
  </si>
  <si>
    <t xml:space="preserve">TRANSITIONS </t>
  </si>
  <si>
    <t>PER BUILDER SPECIFICATIONS</t>
  </si>
  <si>
    <r>
      <rPr>
        <u/>
        <sz val="11"/>
        <color rgb="FF000000"/>
        <rFont val="Calibri"/>
        <family val="2"/>
        <scheme val="minor"/>
      </rPr>
      <t>UOM = EA:</t>
    </r>
    <r>
      <rPr>
        <sz val="11"/>
        <color rgb="FF000000"/>
        <rFont val="Calibri"/>
        <family val="2"/>
        <scheme val="minor"/>
      </rPr>
      <t xml:space="preserve"> TAKE TOTAL LF OF TRANSITION NEEDED AND DIVIDE BY THE LENGTH OF ONE PIECE. ROUND UP TO NEAREST WHOLE PIECE.</t>
    </r>
  </si>
  <si>
    <r>
      <rPr>
        <u/>
        <sz val="11"/>
        <color rgb="FF000000"/>
        <rFont val="Calibri"/>
        <family val="2"/>
        <scheme val="minor"/>
      </rPr>
      <t>UOM = LF:</t>
    </r>
    <r>
      <rPr>
        <sz val="11"/>
        <color rgb="FF000000"/>
        <rFont val="Calibri"/>
        <family val="2"/>
        <scheme val="minor"/>
      </rPr>
      <t xml:space="preserve"> TAKE TOTAL LF OF TRANSITION NEEDED AND ENTER IN SAP QUANTITY FIELD.</t>
    </r>
  </si>
  <si>
    <t xml:space="preserve">TRIM MOLDING </t>
  </si>
  <si>
    <t>USE WASTE CALCULATOR - WOOD REDUCTION TAB</t>
  </si>
  <si>
    <t xml:space="preserve">LABOR - TRIM </t>
  </si>
  <si>
    <t>LABOR - SPECIAL PATTERNS</t>
  </si>
  <si>
    <t>ADD BUILDER SPECIFIC ACTIVITIES TO BE USED IF OTHER THAN 3240</t>
  </si>
  <si>
    <r>
      <rPr>
        <u/>
        <sz val="11"/>
        <color rgb="FF000000"/>
        <rFont val="Calibri"/>
        <family val="2"/>
        <scheme val="minor"/>
      </rPr>
      <t>UOM = EA:</t>
    </r>
    <r>
      <rPr>
        <sz val="11"/>
        <color rgb="FF000000"/>
        <rFont val="Calibri"/>
        <family val="2"/>
        <scheme val="minor"/>
      </rPr>
      <t xml:space="preserve"> TAKE TOTAL LF OF TRIM NEEDED AND DIVIDE BY THE LENGTH OF ONE PIECE. ROUND UP TO NEAREST WHOLE PIECE.</t>
    </r>
  </si>
  <si>
    <r>
      <rPr>
        <u/>
        <sz val="11"/>
        <color rgb="FF000000"/>
        <rFont val="Calibri"/>
        <family val="2"/>
        <scheme val="minor"/>
      </rPr>
      <t>UOM = LF:</t>
    </r>
    <r>
      <rPr>
        <sz val="11"/>
        <color rgb="FF000000"/>
        <rFont val="Calibri"/>
        <family val="2"/>
        <scheme val="minor"/>
      </rPr>
      <t xml:space="preserve"> TAKE TOTAL LF OF TRIM NEEDED AND ENTER IN SAP QUANTITY FIELD.</t>
    </r>
  </si>
  <si>
    <t>USE UNDERLAYMENT COLUMN ON TAKE OFF: LUAN UNDERLAYMENT - GROSS TAKE OFF SF DIVIDED BY 32 SF = # OF SHEETS TO ORDER</t>
  </si>
  <si>
    <t xml:space="preserve">ENTER TOTAL LF ON TAKE OFF FOR EACH ROOM REQUIRING TRIM </t>
  </si>
  <si>
    <t>SAND, STAIN, COAT HARDWOOD</t>
  </si>
  <si>
    <t>EA/SF</t>
  </si>
  <si>
    <t>SAND AND FINISH LABOR</t>
  </si>
  <si>
    <t>PER BUILDER SCOPE OF WORK/PROGRAM</t>
  </si>
  <si>
    <t>REFERENCE UOM ON LABOR CONSOLIDATION SPREADSHEET</t>
  </si>
  <si>
    <t>WOOD FINISH - FINAL POLY COAT</t>
  </si>
  <si>
    <t>WOOD FINISH</t>
  </si>
  <si>
    <t>NONE</t>
  </si>
  <si>
    <t>WORK ORDER IS DATED ONLY FOR ORIGINAL INSTALLATION TEAM TO COMPLETE POLY-COAT WORK</t>
  </si>
  <si>
    <t>ADD BUILDER SPECIFIC ACTIVITIES TO BE USED IF OTHER THAN 3257</t>
  </si>
  <si>
    <t>CALCULATIONS AND KEYING INSTRUCTIONS</t>
  </si>
  <si>
    <t>VCT</t>
  </si>
  <si>
    <t>VCT - LVP: PLANK</t>
  </si>
  <si>
    <t>UNDERLAYMENT - LUAN</t>
  </si>
  <si>
    <t>VCT - LVP GLUE</t>
  </si>
  <si>
    <t>LABOR VCT - LVP</t>
  </si>
  <si>
    <t>USE WASTE CALCULATOR - WOOD REDUCTION TAB OR FLOOR TILE TAB FOR VINYL SQUARES</t>
  </si>
  <si>
    <t>LABOR - LUAN UNDERLAYMENT</t>
  </si>
  <si>
    <t>VINYL TILE WORK ORDERS</t>
  </si>
  <si>
    <t>LVT, VCT, ETC (For Example, 12x12 or 12x24 inch products)</t>
  </si>
  <si>
    <t>VCT - LVP: TILE</t>
  </si>
  <si>
    <r>
      <t xml:space="preserve">ENTER EACH ROOM </t>
    </r>
    <r>
      <rPr>
        <u/>
        <sz val="11"/>
        <color rgb="FF000000"/>
        <rFont val="Calibri"/>
        <family val="2"/>
        <scheme val="minor"/>
      </rPr>
      <t>NET SQUARE FOOTAGE</t>
    </r>
    <r>
      <rPr>
        <sz val="11"/>
        <color rgb="FF000000"/>
        <rFont val="Calibri"/>
        <family val="2"/>
        <scheme val="minor"/>
      </rPr>
      <t xml:space="preserve"> QUANTITY IN TO THE WASTE CALCULATOR - FLOOR TILE TAB. ENTER IN TOTAL FROM CALCULATOR. </t>
    </r>
  </si>
  <si>
    <t>WALL TILE</t>
  </si>
  <si>
    <t>PER PROGRAM SELECTIONS</t>
  </si>
  <si>
    <t>PAD - 7/16" 6 LB</t>
  </si>
  <si>
    <t xml:space="preserve">HAMMERED SILVER - CARPET TO VINYL </t>
  </si>
  <si>
    <t>LVP</t>
  </si>
  <si>
    <t>GROSS X .95, ROUND UP</t>
  </si>
  <si>
    <t>30 SY/ROLL (order in increments of 30 SY)</t>
  </si>
  <si>
    <t>133 SY/ROLL</t>
  </si>
  <si>
    <t>INSTAll SMALL FORMAT WALL TILE</t>
  </si>
  <si>
    <t>INSTALL SHOWER NICHE</t>
  </si>
  <si>
    <t>WATERPROOF (1 BATH)</t>
  </si>
  <si>
    <t>2"X300', FIBERGLASS MESH TAPE, SURFACE S</t>
  </si>
  <si>
    <t>SHOWER NICHE</t>
  </si>
  <si>
    <t>CURB SILL</t>
  </si>
  <si>
    <t>ALWAYS 1</t>
  </si>
  <si>
    <t>45 SF/BAG</t>
  </si>
  <si>
    <r>
      <t xml:space="preserve">ALWAYS 6" </t>
    </r>
    <r>
      <rPr>
        <b/>
        <sz val="11"/>
        <color rgb="FFFF0000"/>
        <rFont val="Calibri"/>
        <family val="2"/>
        <scheme val="minor"/>
      </rPr>
      <t>(UPSTAIRS SHOWERS WITH PAN TILE ONLY)</t>
    </r>
  </si>
  <si>
    <t xml:space="preserve">INSTALLATION OF STANDARD WALL TILE SIZES (3X6, 6X6, 4X12, 8X12, 9X12, 10X13, 4X16 &amp; 10X16) </t>
  </si>
  <si>
    <t>INSTALLATION OF A (NON-KERDI) NICHE</t>
  </si>
  <si>
    <t>INSTALLATION FOR WATERPROOFING WALLS 1 BATH (NON KERDI)</t>
  </si>
  <si>
    <t>WALL TILE 1</t>
  </si>
  <si>
    <t>047034351401, 35" X 140', EASY MASK BUIL</t>
  </si>
  <si>
    <t>BLUE TAPE</t>
  </si>
  <si>
    <t>400 SF/ROLL</t>
  </si>
  <si>
    <r>
      <t xml:space="preserve">KER111W, 50#, WHITE, MAPEI, KER111, 50LB </t>
    </r>
    <r>
      <rPr>
        <b/>
        <sz val="11"/>
        <color rgb="FFC00000"/>
        <rFont val="Calibri"/>
        <family val="2"/>
        <scheme val="minor"/>
      </rPr>
      <t>*new 4.3.24</t>
    </r>
  </si>
  <si>
    <r>
      <t xml:space="preserve">SEND ONLY IF SELECTED FOR MASTER BATH ONLY </t>
    </r>
    <r>
      <rPr>
        <b/>
        <sz val="11"/>
        <color rgb="FFFF0000"/>
        <rFont val="Calibri"/>
        <family val="2"/>
        <scheme val="minor"/>
      </rPr>
      <t>(ENSURE PAID ON PO)</t>
    </r>
    <r>
      <rPr>
        <b/>
        <sz val="11"/>
        <color rgb="FFC00000"/>
        <rFont val="Calibri"/>
        <family val="2"/>
        <scheme val="minor"/>
      </rPr>
      <t>** replaces 20029518 2/1/24 per Sarah</t>
    </r>
  </si>
  <si>
    <t>(2TUBS/SHOWERS = 1 TUBE) (3 TUBS/SHOWERS= 2 TUBES) (4 TUBS/SHOWERS = 2 TUBES)</t>
  </si>
  <si>
    <t>ALWAYS 4 BAGS</t>
  </si>
  <si>
    <t>50LB, ULTRAPLAN EASY, MAPEI</t>
  </si>
  <si>
    <t>ITS POLY FILM 6MIL - 10125512BLK, 10'X12', BLACK</t>
  </si>
  <si>
    <r>
      <rPr>
        <b/>
        <sz val="11"/>
        <rFont val="Calibri"/>
        <family val="2"/>
        <scheme val="minor"/>
      </rPr>
      <t xml:space="preserve">120 SF/ROLL </t>
    </r>
    <r>
      <rPr>
        <b/>
        <sz val="11"/>
        <color rgb="FFC00000"/>
        <rFont val="Calibri"/>
        <family val="2"/>
        <scheme val="minor"/>
      </rPr>
      <t>* NEW 1.16.25</t>
    </r>
  </si>
  <si>
    <t>**PAYING FOR SELF LEVELER - 1 EA PER BAG OF ULTRAPLAN EASY</t>
  </si>
  <si>
    <t>FT2</t>
  </si>
  <si>
    <t>TM-50, 5FT, SNOW WHITE, 1-1/2" TUB MOLDI</t>
  </si>
  <si>
    <t>1 FOR EACH TUB AND SHOWER (super showers = 2)</t>
  </si>
  <si>
    <t>INSTALL, FLOOR PREP/FLOATING LABOR</t>
  </si>
  <si>
    <t>INSTALL FLOATING LVP</t>
  </si>
  <si>
    <t>AIM SILICONE</t>
  </si>
  <si>
    <t>ITS BLACK FHA REBOND PAD 6LB, 7/16"</t>
  </si>
  <si>
    <t>YD2</t>
  </si>
  <si>
    <t>INSTALLATION FOR LVP FLOORING</t>
  </si>
  <si>
    <t>WOOD REDUCTION TAB. ENTER IN TOTAL FROM CALCULATOR.</t>
  </si>
  <si>
    <t>PROTECTION (PLASTIC PROTECTION)</t>
  </si>
  <si>
    <r>
      <t xml:space="preserve">ENTER EACH ROOM </t>
    </r>
    <r>
      <rPr>
        <b/>
        <u/>
        <sz val="11"/>
        <color rgb="FF000000"/>
        <rFont val="Calibri"/>
        <family val="2"/>
        <scheme val="minor"/>
      </rPr>
      <t>NET SQUARE FOOTAGE</t>
    </r>
    <r>
      <rPr>
        <b/>
        <sz val="11"/>
        <color rgb="FF000000"/>
        <rFont val="Calibri"/>
        <family val="2"/>
        <scheme val="minor"/>
      </rPr>
      <t xml:space="preserve"> QUANTITY IN TO THE WASTE CALCULATOR</t>
    </r>
  </si>
  <si>
    <t>5x60 SILL</t>
  </si>
  <si>
    <t>Installation Material</t>
  </si>
  <si>
    <t>Iinstallation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</si>
</sst>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i/>
      <sz val="11"/>
      <color rgb="FFFF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7E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CCFF"/>
        <bgColor indexed="64"/>
      </patternFill>
    </fill>
    <fill>
      <patternFill patternType="gray0625">
        <bgColor theme="7" tint="0.59999389629810485"/>
      </patternFill>
    </fill>
    <fill>
      <patternFill patternType="gray0625">
        <bgColor theme="7" tint="0.79998168889431442"/>
      </patternFill>
    </fill>
    <fill>
      <patternFill patternType="gray0625">
        <bgColor theme="7" tint="0.79995117038483843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6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</cellStyleXfs>
  <cellXfs count="1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4" borderId="2" xfId="0" applyFont="1" applyFill="1" applyBorder="1"/>
    <xf numFmtId="0" fontId="10" fillId="0" borderId="0" xfId="0" applyFont="1"/>
    <xf numFmtId="0" fontId="7" fillId="0" borderId="2" xfId="0" applyFont="1" applyBorder="1"/>
    <xf numFmtId="0" fontId="11" fillId="0" borderId="0" xfId="0" applyFont="1"/>
    <xf numFmtId="0" fontId="0" fillId="0" borderId="2" xfId="0" applyBorder="1"/>
    <xf numFmtId="0" fontId="16" fillId="0" borderId="0" xfId="1"/>
    <xf numFmtId="0" fontId="1" fillId="0" borderId="0" xfId="0" applyFont="1"/>
    <xf numFmtId="0" fontId="8" fillId="0" borderId="0" xfId="0" applyFont="1"/>
    <xf numFmtId="0" fontId="0" fillId="2" borderId="2" xfId="0" applyFill="1" applyBorder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/>
    </xf>
    <xf numFmtId="0" fontId="0" fillId="5" borderId="2" xfId="0" applyFill="1" applyBorder="1"/>
    <xf numFmtId="0" fontId="3" fillId="5" borderId="2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3" fillId="5" borderId="2" xfId="0" applyFont="1" applyFill="1" applyBorder="1"/>
    <xf numFmtId="0" fontId="5" fillId="5" borderId="2" xfId="0" applyFont="1" applyFill="1" applyBorder="1" applyAlignment="1">
      <alignment wrapText="1"/>
    </xf>
    <xf numFmtId="0" fontId="7" fillId="5" borderId="2" xfId="0" applyFont="1" applyFill="1" applyBorder="1"/>
    <xf numFmtId="0" fontId="3" fillId="4" borderId="2" xfId="0" applyFont="1" applyFill="1" applyBorder="1" applyAlignment="1">
      <alignment horizontal="left"/>
    </xf>
    <xf numFmtId="0" fontId="3" fillId="2" borderId="2" xfId="0" applyFont="1" applyFill="1" applyBorder="1"/>
    <xf numFmtId="0" fontId="3" fillId="7" borderId="2" xfId="0" applyFont="1" applyFill="1" applyBorder="1"/>
    <xf numFmtId="0" fontId="1" fillId="3" borderId="2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6" fillId="3" borderId="2" xfId="0" applyFont="1" applyFill="1" applyBorder="1" applyAlignment="1">
      <alignment wrapText="1"/>
    </xf>
    <xf numFmtId="0" fontId="21" fillId="0" borderId="0" xfId="0" applyFont="1" applyAlignment="1">
      <alignment wrapText="1"/>
    </xf>
    <xf numFmtId="0" fontId="16" fillId="0" borderId="0" xfId="1" applyAlignment="1">
      <alignment wrapText="1"/>
    </xf>
    <xf numFmtId="0" fontId="0" fillId="5" borderId="5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0" fillId="0" borderId="0" xfId="0" applyFont="1" applyAlignment="1">
      <alignment wrapText="1"/>
    </xf>
    <xf numFmtId="0" fontId="23" fillId="0" borderId="1" xfId="1" applyFont="1" applyBorder="1"/>
    <xf numFmtId="0" fontId="24" fillId="0" borderId="0" xfId="0" applyFont="1"/>
    <xf numFmtId="0" fontId="17" fillId="0" borderId="0" xfId="0" applyFont="1" applyAlignment="1">
      <alignment wrapText="1"/>
    </xf>
    <xf numFmtId="0" fontId="1" fillId="3" borderId="3" xfId="0" applyFont="1" applyFill="1" applyBorder="1" applyAlignment="1">
      <alignment wrapText="1"/>
    </xf>
    <xf numFmtId="0" fontId="0" fillId="0" borderId="6" xfId="0" applyBorder="1"/>
    <xf numFmtId="14" fontId="0" fillId="0" borderId="6" xfId="0" applyNumberFormat="1" applyBorder="1"/>
    <xf numFmtId="0" fontId="25" fillId="0" borderId="6" xfId="0" applyFont="1" applyBorder="1"/>
    <xf numFmtId="0" fontId="1" fillId="0" borderId="6" xfId="0" applyFont="1" applyBorder="1"/>
    <xf numFmtId="0" fontId="1" fillId="5" borderId="8" xfId="0" applyFont="1" applyFill="1" applyBorder="1"/>
    <xf numFmtId="0" fontId="12" fillId="5" borderId="8" xfId="0" applyFont="1" applyFill="1" applyBorder="1"/>
    <xf numFmtId="0" fontId="18" fillId="5" borderId="8" xfId="0" applyFont="1" applyFill="1" applyBorder="1" applyAlignment="1">
      <alignment wrapText="1"/>
    </xf>
    <xf numFmtId="0" fontId="0" fillId="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3" borderId="12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5" fillId="6" borderId="8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0" fillId="5" borderId="1" xfId="0" applyFill="1" applyBorder="1"/>
    <xf numFmtId="0" fontId="3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wrapText="1"/>
    </xf>
    <xf numFmtId="0" fontId="3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12" fillId="5" borderId="1" xfId="0" applyFont="1" applyFill="1" applyBorder="1"/>
    <xf numFmtId="0" fontId="27" fillId="5" borderId="1" xfId="0" applyFont="1" applyFill="1" applyBorder="1"/>
    <xf numFmtId="0" fontId="1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6" fillId="5" borderId="1" xfId="0" applyFont="1" applyFill="1" applyBorder="1" applyAlignment="1">
      <alignment wrapText="1"/>
    </xf>
    <xf numFmtId="0" fontId="28" fillId="5" borderId="1" xfId="0" applyFont="1" applyFill="1" applyBorder="1" applyAlignment="1">
      <alignment wrapText="1"/>
    </xf>
    <xf numFmtId="0" fontId="13" fillId="6" borderId="1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11" fillId="11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14" fillId="6" borderId="14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0" fontId="14" fillId="11" borderId="12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11" borderId="11" xfId="0" applyFon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7" fillId="11" borderId="12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3" fillId="11" borderId="15" xfId="0" applyFont="1" applyFill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2" fontId="0" fillId="16" borderId="1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2" fontId="3" fillId="11" borderId="1" xfId="0" applyNumberFormat="1" applyFont="1" applyFill="1" applyBorder="1" applyAlignment="1">
      <alignment horizontal="center"/>
    </xf>
    <xf numFmtId="2" fontId="3" fillId="14" borderId="1" xfId="0" applyNumberFormat="1" applyFont="1" applyFill="1" applyBorder="1" applyAlignment="1">
      <alignment horizontal="center"/>
    </xf>
    <xf numFmtId="2" fontId="11" fillId="6" borderId="8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2" fontId="14" fillId="11" borderId="1" xfId="0" applyNumberFormat="1" applyFont="1" applyFill="1" applyBorder="1" applyAlignment="1">
      <alignment horizontal="center"/>
    </xf>
    <xf numFmtId="2" fontId="11" fillId="14" borderId="1" xfId="0" applyNumberFormat="1" applyFont="1" applyFill="1" applyBorder="1" applyAlignment="1">
      <alignment horizontal="center"/>
    </xf>
    <xf numFmtId="2" fontId="11" fillId="11" borderId="1" xfId="0" applyNumberFormat="1" applyFont="1" applyFill="1" applyBorder="1" applyAlignment="1">
      <alignment horizontal="center"/>
    </xf>
    <xf numFmtId="2" fontId="14" fillId="14" borderId="1" xfId="0" applyNumberFormat="1" applyFon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0" fillId="0" borderId="0" xfId="0"/>
    <xf numFmtId="0" fontId="1" fillId="6" borderId="2" xfId="0" applyFont="1" applyFill="1" applyBorder="1" applyAlignment="1">
      <alignment horizontal="center"/>
    </xf>
  </cellXfs>
  <cellStyles count="7">
    <cellStyle name="Comma 2" xfId="5" xr:uid="{DEEEAE02-641D-4166-877E-0E93C373ED1A}"/>
    <cellStyle name="Hyperlink" xfId="1" builtinId="8"/>
    <cellStyle name="Normal" xfId="0" builtinId="0"/>
    <cellStyle name="Normal 2" xfId="2" xr:uid="{5A8CFABC-3AFC-44D0-A490-12915EADCB45}"/>
    <cellStyle name="Normal 2 2" xfId="4" xr:uid="{46A82047-C630-40AD-ACA5-0BB29F5F3E52}"/>
    <cellStyle name="Normal 4" xfId="3" xr:uid="{395BFA0A-83FA-4034-92DF-EE921CE5183E}"/>
    <cellStyle name="Normal 4 2" xfId="6" xr:uid="{68F3696C-718F-4B08-BF0C-DEE020E61DBE}"/>
  </cellStyles>
  <dxfs count="0"/>
  <tableStyles count="0" defaultTableStyle="TableStyleMedium2" defaultPivotStyle="PivotStyleLight16"/>
  <colors>
    <mruColors>
      <color rgb="FFFF66FF"/>
      <color rgb="FF9900CC"/>
      <color rgb="FFCC00FF"/>
      <color rgb="FFCC66FF"/>
      <color rgb="FFCC99FF"/>
      <color rgb="FFCCCCFF"/>
      <color rgb="FFFFC7E9"/>
      <color rgb="FFFFFA8F"/>
      <color rgb="FFFFFCC7"/>
      <color rgb="FFFFBD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interiorlogicgroup-my.sharepoint.com/Shared_Services/East_Shared_Services/Sales%20Support/GA/Minto/3009%20Savannah/Master%20Pricing/OP%20Sales%20Docs/Pricing%20Docs/ILG%20Pricing/Minto%20Homes%20Master%20Spreadsheet-%20w-%20Pricing%20and%20Takeoffs%202-8-2021.xlsx?E214100A" TargetMode="External"/><Relationship Id="rId1" Type="http://schemas.openxmlformats.org/officeDocument/2006/relationships/externalLinkPath" Target="file:///\\E214100A\Minto%20Homes%20Master%20Spreadsheet-%20w-%20Pricing%20and%20Takeoffs%202-8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idc.com\CTI-TDrive-East_Region\Users\dward1\Desktop\Large%20Tile%20and%20Pattern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book Notes"/>
      <sheetName val="Price"/>
      <sheetName val="Model Home Pricing"/>
      <sheetName val="Takeoffs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 refreshError="1">
        <row r="2">
          <cell r="B2">
            <v>1</v>
          </cell>
          <cell r="C2">
            <v>0.05</v>
          </cell>
          <cell r="E2">
            <v>1</v>
          </cell>
          <cell r="F2">
            <v>0</v>
          </cell>
        </row>
        <row r="3">
          <cell r="B3">
            <v>2</v>
          </cell>
          <cell r="C3">
            <v>7.0000000000000007E-2</v>
          </cell>
          <cell r="E3">
            <v>2</v>
          </cell>
          <cell r="F3">
            <v>3.5000000000000003E-2</v>
          </cell>
        </row>
        <row r="4">
          <cell r="B4">
            <v>3</v>
          </cell>
          <cell r="C4">
            <v>0.05</v>
          </cell>
          <cell r="E4">
            <v>3</v>
          </cell>
          <cell r="F4">
            <v>3.5000000000000003E-2</v>
          </cell>
        </row>
        <row r="5">
          <cell r="B5">
            <v>4</v>
          </cell>
          <cell r="C5">
            <v>0.05</v>
          </cell>
          <cell r="E5">
            <v>4</v>
          </cell>
          <cell r="F5">
            <v>0.05</v>
          </cell>
        </row>
        <row r="6">
          <cell r="B6">
            <v>5</v>
          </cell>
          <cell r="C6">
            <v>0.05</v>
          </cell>
          <cell r="E6">
            <v>5</v>
          </cell>
          <cell r="F6">
            <v>0.05</v>
          </cell>
        </row>
        <row r="7">
          <cell r="B7">
            <v>6</v>
          </cell>
          <cell r="E7">
            <v>6</v>
          </cell>
          <cell r="F7">
            <v>0.06</v>
          </cell>
        </row>
        <row r="8">
          <cell r="B8">
            <v>7</v>
          </cell>
          <cell r="E8">
            <v>7</v>
          </cell>
        </row>
        <row r="9">
          <cell r="B9">
            <v>8</v>
          </cell>
          <cell r="E9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E37B-5AD9-439D-920C-27816C0321AF}">
  <sheetPr>
    <tabColor rgb="FF000000"/>
  </sheetPr>
  <dimension ref="A1:C48"/>
  <sheetViews>
    <sheetView workbookViewId="0">
      <selection activeCell="A5" sqref="A5"/>
    </sheetView>
  </sheetViews>
  <sheetFormatPr defaultRowHeight="15" x14ac:dyDescent="0.25"/>
  <cols>
    <col min="1" max="1" width="11.42578125" bestFit="1" customWidth="1"/>
    <col min="2" max="2" width="96.42578125" bestFit="1" customWidth="1"/>
  </cols>
  <sheetData>
    <row r="1" spans="1:3" x14ac:dyDescent="0.25">
      <c r="A1" s="43" t="s">
        <v>33</v>
      </c>
      <c r="B1" s="43" t="s">
        <v>34</v>
      </c>
      <c r="C1" s="43" t="s">
        <v>35</v>
      </c>
    </row>
    <row r="2" spans="1:3" x14ac:dyDescent="0.25">
      <c r="A2" s="41">
        <v>44543</v>
      </c>
      <c r="B2" s="42" t="s">
        <v>36</v>
      </c>
      <c r="C2" s="40"/>
    </row>
    <row r="3" spans="1:3" x14ac:dyDescent="0.25">
      <c r="A3" s="41">
        <v>44543</v>
      </c>
      <c r="B3" s="42" t="s">
        <v>37</v>
      </c>
      <c r="C3" s="40"/>
    </row>
    <row r="4" spans="1:3" x14ac:dyDescent="0.25">
      <c r="A4" s="41">
        <v>44543</v>
      </c>
      <c r="B4" s="42" t="s">
        <v>38</v>
      </c>
      <c r="C4" s="40"/>
    </row>
    <row r="5" spans="1:3" x14ac:dyDescent="0.25">
      <c r="A5" s="40"/>
      <c r="B5" s="40"/>
      <c r="C5" s="40"/>
    </row>
    <row r="6" spans="1:3" x14ac:dyDescent="0.25">
      <c r="A6" s="40"/>
      <c r="B6" s="40"/>
      <c r="C6" s="40"/>
    </row>
    <row r="7" spans="1:3" x14ac:dyDescent="0.25">
      <c r="A7" s="40"/>
      <c r="B7" s="40"/>
      <c r="C7" s="40"/>
    </row>
    <row r="8" spans="1:3" x14ac:dyDescent="0.25">
      <c r="A8" s="40"/>
      <c r="B8" s="40"/>
      <c r="C8" s="40"/>
    </row>
    <row r="9" spans="1:3" x14ac:dyDescent="0.25">
      <c r="A9" s="40"/>
      <c r="B9" s="40"/>
      <c r="C9" s="40"/>
    </row>
    <row r="10" spans="1:3" x14ac:dyDescent="0.25">
      <c r="A10" s="40"/>
      <c r="B10" s="40"/>
      <c r="C10" s="40"/>
    </row>
    <row r="11" spans="1:3" x14ac:dyDescent="0.25">
      <c r="A11" s="40"/>
      <c r="B11" s="40"/>
      <c r="C11" s="40"/>
    </row>
    <row r="12" spans="1:3" x14ac:dyDescent="0.25">
      <c r="A12" s="40"/>
      <c r="B12" s="40"/>
      <c r="C12" s="40"/>
    </row>
    <row r="13" spans="1:3" x14ac:dyDescent="0.25">
      <c r="A13" s="40"/>
      <c r="B13" s="40"/>
      <c r="C13" s="40"/>
    </row>
    <row r="14" spans="1:3" x14ac:dyDescent="0.25">
      <c r="A14" s="40"/>
      <c r="B14" s="40"/>
      <c r="C14" s="40"/>
    </row>
    <row r="15" spans="1:3" x14ac:dyDescent="0.25">
      <c r="A15" s="40"/>
      <c r="B15" s="40"/>
      <c r="C15" s="40"/>
    </row>
    <row r="16" spans="1:3" x14ac:dyDescent="0.25">
      <c r="A16" s="40"/>
      <c r="B16" s="40"/>
      <c r="C16" s="40"/>
    </row>
    <row r="17" spans="1:3" x14ac:dyDescent="0.25">
      <c r="A17" s="40"/>
      <c r="B17" s="40"/>
      <c r="C17" s="40"/>
    </row>
    <row r="18" spans="1:3" x14ac:dyDescent="0.25">
      <c r="A18" s="40"/>
      <c r="B18" s="40"/>
      <c r="C18" s="40"/>
    </row>
    <row r="19" spans="1:3" x14ac:dyDescent="0.25">
      <c r="A19" s="40"/>
      <c r="B19" s="40"/>
      <c r="C19" s="40"/>
    </row>
    <row r="20" spans="1:3" x14ac:dyDescent="0.25">
      <c r="A20" s="40"/>
      <c r="B20" s="40"/>
      <c r="C20" s="40"/>
    </row>
    <row r="21" spans="1:3" x14ac:dyDescent="0.25">
      <c r="A21" s="40"/>
      <c r="B21" s="40"/>
      <c r="C21" s="40"/>
    </row>
    <row r="22" spans="1:3" x14ac:dyDescent="0.25">
      <c r="A22" s="40"/>
      <c r="B22" s="40"/>
      <c r="C22" s="40"/>
    </row>
    <row r="23" spans="1:3" x14ac:dyDescent="0.25">
      <c r="A23" s="40"/>
      <c r="B23" s="40"/>
      <c r="C23" s="40"/>
    </row>
    <row r="24" spans="1:3" x14ac:dyDescent="0.25">
      <c r="A24" s="40"/>
      <c r="B24" s="40"/>
      <c r="C24" s="40"/>
    </row>
    <row r="25" spans="1:3" x14ac:dyDescent="0.25">
      <c r="A25" s="40"/>
      <c r="B25" s="40"/>
      <c r="C25" s="40"/>
    </row>
    <row r="26" spans="1:3" x14ac:dyDescent="0.25">
      <c r="A26" s="40"/>
      <c r="B26" s="40"/>
      <c r="C26" s="40"/>
    </row>
    <row r="27" spans="1:3" x14ac:dyDescent="0.25">
      <c r="A27" s="40"/>
      <c r="B27" s="40"/>
      <c r="C27" s="40"/>
    </row>
    <row r="28" spans="1:3" x14ac:dyDescent="0.25">
      <c r="A28" s="40"/>
      <c r="B28" s="40"/>
      <c r="C28" s="40"/>
    </row>
    <row r="29" spans="1:3" x14ac:dyDescent="0.25">
      <c r="A29" s="40"/>
      <c r="B29" s="40"/>
      <c r="C29" s="40"/>
    </row>
    <row r="30" spans="1:3" x14ac:dyDescent="0.25">
      <c r="A30" s="40"/>
      <c r="B30" s="40"/>
      <c r="C30" s="40"/>
    </row>
    <row r="31" spans="1:3" x14ac:dyDescent="0.25">
      <c r="A31" s="40"/>
      <c r="B31" s="40"/>
      <c r="C31" s="40"/>
    </row>
    <row r="32" spans="1:3" x14ac:dyDescent="0.25">
      <c r="A32" s="40"/>
      <c r="B32" s="40"/>
      <c r="C32" s="40"/>
    </row>
    <row r="33" spans="1:3" x14ac:dyDescent="0.25">
      <c r="A33" s="40"/>
      <c r="B33" s="40"/>
      <c r="C33" s="40"/>
    </row>
    <row r="34" spans="1:3" x14ac:dyDescent="0.25">
      <c r="A34" s="40"/>
      <c r="B34" s="40"/>
      <c r="C34" s="40"/>
    </row>
    <row r="35" spans="1:3" x14ac:dyDescent="0.25">
      <c r="A35" s="40"/>
      <c r="B35" s="40"/>
      <c r="C35" s="40"/>
    </row>
    <row r="36" spans="1:3" x14ac:dyDescent="0.25">
      <c r="A36" s="40"/>
      <c r="B36" s="40"/>
      <c r="C36" s="40"/>
    </row>
    <row r="37" spans="1:3" x14ac:dyDescent="0.25">
      <c r="A37" s="40"/>
      <c r="B37" s="40"/>
      <c r="C37" s="40"/>
    </row>
    <row r="38" spans="1:3" x14ac:dyDescent="0.25">
      <c r="A38" s="40"/>
      <c r="B38" s="40"/>
      <c r="C38" s="40"/>
    </row>
    <row r="39" spans="1:3" x14ac:dyDescent="0.25">
      <c r="A39" s="40"/>
      <c r="B39" s="40"/>
      <c r="C39" s="40"/>
    </row>
    <row r="40" spans="1:3" x14ac:dyDescent="0.25">
      <c r="A40" s="40"/>
      <c r="B40" s="40"/>
      <c r="C40" s="40"/>
    </row>
    <row r="41" spans="1:3" x14ac:dyDescent="0.25">
      <c r="A41" s="40"/>
      <c r="B41" s="40"/>
      <c r="C41" s="40"/>
    </row>
    <row r="42" spans="1:3" x14ac:dyDescent="0.25">
      <c r="A42" s="40"/>
      <c r="B42" s="40"/>
      <c r="C42" s="40"/>
    </row>
    <row r="43" spans="1:3" x14ac:dyDescent="0.25">
      <c r="A43" s="40"/>
      <c r="B43" s="40"/>
      <c r="C43" s="40"/>
    </row>
    <row r="44" spans="1:3" x14ac:dyDescent="0.25">
      <c r="A44" s="40"/>
      <c r="B44" s="40"/>
      <c r="C44" s="40"/>
    </row>
    <row r="45" spans="1:3" x14ac:dyDescent="0.25">
      <c r="A45" s="40"/>
      <c r="B45" s="40"/>
      <c r="C45" s="40"/>
    </row>
    <row r="46" spans="1:3" x14ac:dyDescent="0.25">
      <c r="A46" s="40"/>
      <c r="B46" s="40"/>
      <c r="C46" s="40"/>
    </row>
    <row r="47" spans="1:3" x14ac:dyDescent="0.25">
      <c r="A47" s="40"/>
      <c r="B47" s="40"/>
      <c r="C47" s="40"/>
    </row>
    <row r="48" spans="1:3" x14ac:dyDescent="0.25">
      <c r="A48" s="40"/>
      <c r="B48" s="40"/>
      <c r="C48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2BDE-E18A-4F4D-AB0E-DBE4E0800010}">
  <sheetPr codeName="Sheet2">
    <tabColor rgb="FFFFBDE4"/>
  </sheetPr>
  <dimension ref="A1:O7"/>
  <sheetViews>
    <sheetView zoomScaleNormal="100" workbookViewId="0">
      <pane ySplit="1" topLeftCell="A2" activePane="bottomLeft" state="frozen"/>
      <selection activeCell="G4" sqref="G4"/>
      <selection pane="bottomLeft" activeCell="A2" sqref="A2"/>
    </sheetView>
  </sheetViews>
  <sheetFormatPr defaultColWidth="8.85546875" defaultRowHeight="15" x14ac:dyDescent="0.25"/>
  <cols>
    <col min="1" max="1" width="21.7109375" style="17" customWidth="1"/>
    <col min="2" max="2" width="13.140625" hidden="1" customWidth="1"/>
    <col min="3" max="3" width="2.5703125" hidden="1" customWidth="1"/>
    <col min="4" max="4" width="2.28515625" hidden="1" customWidth="1"/>
    <col min="5" max="5" width="22.140625" hidden="1" customWidth="1"/>
    <col min="6" max="6" width="2.85546875" hidden="1" customWidth="1"/>
    <col min="7" max="7" width="40.5703125" hidden="1" customWidth="1"/>
    <col min="8" max="8" width="10.5703125" hidden="1" customWidth="1"/>
    <col min="9" max="9" width="3" customWidth="1"/>
    <col min="10" max="11" width="10.5703125" customWidth="1"/>
    <col min="12" max="12" width="47.5703125" customWidth="1"/>
    <col min="13" max="13" width="47.140625" customWidth="1"/>
    <col min="14" max="14" width="57.85546875" customWidth="1"/>
    <col min="15" max="15" width="48.140625" customWidth="1"/>
  </cols>
  <sheetData>
    <row r="1" spans="1:15" s="29" customFormat="1" ht="30" x14ac:dyDescent="0.25">
      <c r="A1" s="54" t="s">
        <v>6</v>
      </c>
      <c r="B1" s="55" t="s">
        <v>7</v>
      </c>
      <c r="C1" s="53"/>
      <c r="D1" s="53"/>
      <c r="E1" s="53" t="s">
        <v>8</v>
      </c>
      <c r="F1" s="53"/>
      <c r="G1" s="53" t="s">
        <v>9</v>
      </c>
      <c r="H1" s="56" t="s">
        <v>10</v>
      </c>
      <c r="I1" s="57"/>
      <c r="J1" s="53" t="s">
        <v>12</v>
      </c>
      <c r="K1" s="58" t="s">
        <v>11</v>
      </c>
      <c r="L1" s="53" t="s">
        <v>9</v>
      </c>
      <c r="M1" s="53" t="s">
        <v>13</v>
      </c>
      <c r="N1" s="53" t="s">
        <v>14</v>
      </c>
      <c r="O1" s="59" t="s">
        <v>15</v>
      </c>
    </row>
    <row r="2" spans="1:15" x14ac:dyDescent="0.25">
      <c r="A2" s="48" t="s">
        <v>124</v>
      </c>
      <c r="B2" s="109" t="s">
        <v>16</v>
      </c>
      <c r="C2" s="47"/>
      <c r="D2" s="47"/>
      <c r="E2" s="47" t="s">
        <v>16</v>
      </c>
      <c r="F2" s="47"/>
      <c r="G2" s="47"/>
      <c r="H2" s="110">
        <v>1</v>
      </c>
      <c r="I2" s="108"/>
      <c r="J2" s="129">
        <v>138</v>
      </c>
      <c r="K2" s="63" t="s">
        <v>118</v>
      </c>
      <c r="L2" s="64" t="s">
        <v>16</v>
      </c>
      <c r="M2" s="64" t="s">
        <v>18</v>
      </c>
      <c r="N2" s="64"/>
      <c r="O2" s="65"/>
    </row>
    <row r="3" spans="1:15" x14ac:dyDescent="0.25">
      <c r="A3" s="128">
        <v>20059612</v>
      </c>
      <c r="B3" s="109" t="s">
        <v>16</v>
      </c>
      <c r="C3" s="47"/>
      <c r="D3" s="47"/>
      <c r="E3" s="47"/>
      <c r="F3" s="47"/>
      <c r="G3" s="47"/>
      <c r="H3" s="110"/>
      <c r="I3" s="108"/>
      <c r="J3" s="129">
        <f>MROUND(J2,30)</f>
        <v>150</v>
      </c>
      <c r="K3" s="63" t="s">
        <v>118</v>
      </c>
      <c r="L3" s="64" t="s">
        <v>81</v>
      </c>
      <c r="M3" s="64" t="s">
        <v>85</v>
      </c>
      <c r="N3" s="64"/>
      <c r="O3" s="66" t="s">
        <v>117</v>
      </c>
    </row>
    <row r="4" spans="1:15" x14ac:dyDescent="0.25">
      <c r="A4" s="85">
        <v>80000378</v>
      </c>
      <c r="B4" s="109" t="s">
        <v>16</v>
      </c>
      <c r="C4" s="47"/>
      <c r="D4" s="47"/>
      <c r="E4" s="47"/>
      <c r="F4" s="47"/>
      <c r="G4" s="47"/>
      <c r="H4" s="110"/>
      <c r="I4" s="108"/>
      <c r="J4" s="115">
        <f>J2*0.95</f>
        <v>131.1</v>
      </c>
      <c r="K4" s="63" t="s">
        <v>118</v>
      </c>
      <c r="L4" s="64" t="s">
        <v>19</v>
      </c>
      <c r="M4" s="64" t="s">
        <v>84</v>
      </c>
      <c r="N4" s="64"/>
      <c r="O4" s="66"/>
    </row>
    <row r="5" spans="1:15" x14ac:dyDescent="0.25">
      <c r="A5" s="83">
        <v>80013009</v>
      </c>
      <c r="B5" s="111" t="s">
        <v>16</v>
      </c>
      <c r="C5" s="51"/>
      <c r="D5" s="51"/>
      <c r="E5" s="51"/>
      <c r="F5" s="51"/>
      <c r="G5" s="51"/>
      <c r="H5" s="101"/>
      <c r="I5" s="96"/>
      <c r="J5" s="116">
        <v>1</v>
      </c>
      <c r="K5" s="63" t="s">
        <v>21</v>
      </c>
      <c r="L5" s="64" t="s">
        <v>22</v>
      </c>
      <c r="M5" s="64" t="s">
        <v>23</v>
      </c>
      <c r="N5" s="64"/>
      <c r="O5" s="65"/>
    </row>
    <row r="6" spans="1:15" x14ac:dyDescent="0.25">
      <c r="A6" s="85">
        <v>20046890</v>
      </c>
      <c r="B6" s="109" t="s">
        <v>16</v>
      </c>
      <c r="C6" s="47"/>
      <c r="D6" s="47"/>
      <c r="E6" s="47"/>
      <c r="F6" s="47"/>
      <c r="G6" s="47"/>
      <c r="H6" s="110"/>
      <c r="I6" s="108"/>
      <c r="J6" s="127">
        <f>J2/133</f>
        <v>1.0375939849624061</v>
      </c>
      <c r="K6" s="63" t="s">
        <v>21</v>
      </c>
      <c r="L6" s="64" t="s">
        <v>121</v>
      </c>
      <c r="M6" s="64" t="s">
        <v>86</v>
      </c>
      <c r="N6" s="64"/>
      <c r="O6" s="65"/>
    </row>
    <row r="7" spans="1:15" ht="16.5" hidden="1" customHeight="1" thickBot="1" x14ac:dyDescent="0.3">
      <c r="A7" s="83">
        <v>20031927</v>
      </c>
      <c r="B7" s="112" t="s">
        <v>16</v>
      </c>
      <c r="C7" s="113"/>
      <c r="D7" s="113"/>
      <c r="E7" s="113"/>
      <c r="F7" s="113"/>
      <c r="G7" s="113"/>
      <c r="H7" s="107"/>
      <c r="I7" s="96"/>
      <c r="J7" s="116">
        <v>0</v>
      </c>
      <c r="K7" s="63" t="s">
        <v>21</v>
      </c>
      <c r="L7" s="64" t="s">
        <v>27</v>
      </c>
      <c r="M7" s="64" t="s">
        <v>28</v>
      </c>
      <c r="N7" s="64" t="s">
        <v>29</v>
      </c>
      <c r="O7" s="6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6C32-0FBB-450E-980F-84FC12F587C1}">
  <sheetPr codeName="Sheet9">
    <tabColor theme="4" tint="0.39997558519241921"/>
  </sheetPr>
  <dimension ref="A1:M23"/>
  <sheetViews>
    <sheetView workbookViewId="0">
      <pane ySplit="4" topLeftCell="A5" activePane="bottomLeft" state="frozen"/>
      <selection activeCell="G4" sqref="G4"/>
      <selection pane="bottomLeft" activeCell="G4" sqref="G4"/>
    </sheetView>
  </sheetViews>
  <sheetFormatPr defaultRowHeight="15" x14ac:dyDescent="0.25"/>
  <cols>
    <col min="1" max="1" width="8.85546875" customWidth="1"/>
    <col min="2" max="2" width="17.140625" customWidth="1"/>
    <col min="3" max="3" width="21.7109375" customWidth="1"/>
    <col min="4" max="4" width="13.140625" customWidth="1"/>
    <col min="5" max="5" width="22.140625" customWidth="1"/>
    <col min="6" max="6" width="22.7109375" customWidth="1"/>
    <col min="7" max="7" width="10.5703125" customWidth="1"/>
    <col min="8" max="8" width="6" customWidth="1"/>
    <col min="9" max="9" width="10.5703125" customWidth="1"/>
    <col min="10" max="10" width="29.85546875" customWidth="1"/>
    <col min="11" max="11" width="37.7109375" customWidth="1"/>
    <col min="12" max="12" width="57.85546875" customWidth="1"/>
    <col min="13" max="13" width="26.42578125" customWidth="1"/>
  </cols>
  <sheetData>
    <row r="1" spans="1:13" ht="15.75" x14ac:dyDescent="0.25">
      <c r="A1" s="14" t="s">
        <v>0</v>
      </c>
      <c r="B1" s="14"/>
      <c r="C1" s="14"/>
      <c r="E1" s="10"/>
      <c r="F1" s="36" t="s">
        <v>1</v>
      </c>
      <c r="G1" s="9"/>
    </row>
    <row r="2" spans="1:13" ht="15.75" x14ac:dyDescent="0.25">
      <c r="A2" s="15" t="s">
        <v>57</v>
      </c>
      <c r="B2" s="15"/>
      <c r="C2" s="15"/>
      <c r="E2" s="10"/>
      <c r="F2" s="36" t="s">
        <v>2</v>
      </c>
    </row>
    <row r="3" spans="1:13" s="29" customFormat="1" ht="30" x14ac:dyDescent="0.25">
      <c r="A3" s="35"/>
      <c r="B3" s="35"/>
      <c r="C3" s="35"/>
      <c r="F3" s="32"/>
      <c r="G3" s="33" t="s">
        <v>3</v>
      </c>
      <c r="H3" s="34"/>
      <c r="I3" s="33" t="s">
        <v>3</v>
      </c>
    </row>
    <row r="4" spans="1:13" s="29" customFormat="1" ht="30" x14ac:dyDescent="0.25">
      <c r="A4" s="27" t="s">
        <v>4</v>
      </c>
      <c r="B4" s="27" t="s">
        <v>5</v>
      </c>
      <c r="C4" s="27" t="s">
        <v>6</v>
      </c>
      <c r="D4" s="27" t="s">
        <v>7</v>
      </c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42</v>
      </c>
      <c r="K4" s="27" t="s">
        <v>13</v>
      </c>
      <c r="L4" s="27" t="s">
        <v>14</v>
      </c>
      <c r="M4" s="30" t="s">
        <v>15</v>
      </c>
    </row>
    <row r="5" spans="1:13" ht="30" x14ac:dyDescent="0.25">
      <c r="A5" s="1">
        <v>3257</v>
      </c>
      <c r="B5" s="1"/>
      <c r="C5" s="1"/>
      <c r="D5" s="3" t="s">
        <v>43</v>
      </c>
      <c r="E5" s="3"/>
      <c r="F5" s="2"/>
      <c r="G5" s="2"/>
      <c r="H5" s="1" t="s">
        <v>58</v>
      </c>
      <c r="I5" s="1"/>
      <c r="J5" s="19" t="s">
        <v>59</v>
      </c>
      <c r="K5" s="20" t="s">
        <v>60</v>
      </c>
      <c r="L5" s="19" t="s">
        <v>61</v>
      </c>
      <c r="M5" s="19"/>
    </row>
    <row r="6" spans="1:13" x14ac:dyDescent="0.25">
      <c r="A6" s="1"/>
      <c r="B6" s="1"/>
      <c r="C6" s="1"/>
      <c r="D6" s="3"/>
      <c r="E6" s="3"/>
      <c r="F6" s="1"/>
      <c r="G6" s="1"/>
      <c r="H6" s="8"/>
      <c r="I6" s="8"/>
      <c r="J6" s="21"/>
      <c r="K6" s="20"/>
      <c r="L6" s="18"/>
      <c r="M6" s="18"/>
    </row>
    <row r="7" spans="1:13" x14ac:dyDescent="0.25">
      <c r="A7" s="4"/>
      <c r="B7" s="4"/>
      <c r="C7" s="4"/>
      <c r="D7" s="24"/>
      <c r="E7" s="24"/>
      <c r="F7" s="4"/>
      <c r="G7" s="4"/>
      <c r="H7" s="25"/>
      <c r="I7" s="25"/>
      <c r="J7" s="26"/>
      <c r="K7" s="21"/>
      <c r="L7" s="19"/>
      <c r="M7" s="18"/>
    </row>
    <row r="8" spans="1:13" x14ac:dyDescent="0.25">
      <c r="B8" s="131" t="s">
        <v>30</v>
      </c>
      <c r="C8" s="131"/>
      <c r="D8" s="131"/>
      <c r="E8" s="131"/>
      <c r="F8" s="131"/>
      <c r="G8" s="131"/>
      <c r="H8" s="131"/>
      <c r="I8" s="131"/>
    </row>
    <row r="9" spans="1:13" x14ac:dyDescent="0.25">
      <c r="A9" s="13"/>
    </row>
    <row r="10" spans="1:13" s="29" customFormat="1" ht="30" x14ac:dyDescent="0.25">
      <c r="A10" s="13" t="s">
        <v>62</v>
      </c>
      <c r="B10" s="38"/>
      <c r="C10" s="38"/>
      <c r="G10" s="33" t="s">
        <v>3</v>
      </c>
      <c r="H10" s="34"/>
      <c r="I10" s="33" t="s">
        <v>3</v>
      </c>
    </row>
    <row r="11" spans="1:13" s="29" customFormat="1" ht="30" x14ac:dyDescent="0.25">
      <c r="A11" s="39" t="s">
        <v>4</v>
      </c>
      <c r="B11" s="39" t="s">
        <v>5</v>
      </c>
      <c r="C11" s="39" t="s">
        <v>6</v>
      </c>
      <c r="D11" s="39" t="s">
        <v>7</v>
      </c>
      <c r="E11" s="27" t="s">
        <v>8</v>
      </c>
      <c r="F11" s="39" t="s">
        <v>9</v>
      </c>
      <c r="G11" s="39" t="s">
        <v>10</v>
      </c>
      <c r="H11" s="39" t="s">
        <v>11</v>
      </c>
      <c r="I11" s="39" t="s">
        <v>12</v>
      </c>
      <c r="J11" s="39" t="s">
        <v>42</v>
      </c>
      <c r="K11" s="39" t="s">
        <v>13</v>
      </c>
      <c r="L11" s="39" t="s">
        <v>14</v>
      </c>
      <c r="M11" s="28" t="s">
        <v>15</v>
      </c>
    </row>
    <row r="12" spans="1:13" ht="75" x14ac:dyDescent="0.25">
      <c r="A12" s="1">
        <v>3259</v>
      </c>
      <c r="B12" s="1"/>
      <c r="C12" s="1"/>
      <c r="D12" s="3" t="s">
        <v>63</v>
      </c>
      <c r="E12" s="3"/>
      <c r="F12" s="2"/>
      <c r="G12" s="2"/>
      <c r="H12" s="1" t="s">
        <v>64</v>
      </c>
      <c r="I12" s="1"/>
      <c r="J12" s="19" t="s">
        <v>64</v>
      </c>
      <c r="K12" s="20" t="s">
        <v>60</v>
      </c>
      <c r="L12" s="19" t="s">
        <v>64</v>
      </c>
      <c r="M12" s="19" t="s">
        <v>65</v>
      </c>
    </row>
    <row r="13" spans="1:13" x14ac:dyDescent="0.25">
      <c r="A13" s="1"/>
      <c r="B13" s="1"/>
      <c r="C13" s="1"/>
      <c r="D13" s="3"/>
      <c r="E13" s="3"/>
      <c r="F13" s="1"/>
      <c r="G13" s="1"/>
      <c r="H13" s="8"/>
      <c r="I13" s="8"/>
      <c r="J13" s="21"/>
      <c r="K13" s="20"/>
      <c r="L13" s="18"/>
      <c r="M13" s="20"/>
    </row>
    <row r="14" spans="1:13" x14ac:dyDescent="0.25">
      <c r="A14" s="4"/>
      <c r="B14" s="4"/>
      <c r="C14" s="4"/>
      <c r="D14" s="24"/>
      <c r="E14" s="24"/>
      <c r="F14" s="4"/>
      <c r="G14" s="4"/>
      <c r="H14" s="25"/>
      <c r="I14" s="25"/>
      <c r="J14" s="26"/>
      <c r="K14" s="21"/>
      <c r="L14" s="19"/>
      <c r="M14" s="20"/>
    </row>
    <row r="15" spans="1:13" x14ac:dyDescent="0.25">
      <c r="B15" s="131" t="s">
        <v>30</v>
      </c>
      <c r="C15" s="131"/>
      <c r="D15" s="131"/>
      <c r="E15" s="131"/>
      <c r="F15" s="131"/>
      <c r="G15" s="131"/>
      <c r="H15" s="131"/>
      <c r="I15" s="131"/>
    </row>
    <row r="18" spans="1:6" x14ac:dyDescent="0.25">
      <c r="A18" s="10" t="s">
        <v>31</v>
      </c>
      <c r="B18" s="10"/>
      <c r="C18" s="10"/>
    </row>
    <row r="19" spans="1:6" x14ac:dyDescent="0.25">
      <c r="A19" s="10"/>
      <c r="B19" s="10"/>
      <c r="C19" s="10"/>
    </row>
    <row r="20" spans="1:6" x14ac:dyDescent="0.25">
      <c r="A20" s="10" t="s">
        <v>66</v>
      </c>
      <c r="B20" s="10"/>
      <c r="C20" s="10"/>
    </row>
    <row r="21" spans="1:6" x14ac:dyDescent="0.25">
      <c r="A21" s="37"/>
    </row>
    <row r="22" spans="1:6" x14ac:dyDescent="0.25">
      <c r="A22" s="130" t="s">
        <v>32</v>
      </c>
      <c r="B22" s="130"/>
      <c r="C22" s="130"/>
      <c r="D22" s="130"/>
      <c r="E22" s="130"/>
      <c r="F22" s="130"/>
    </row>
    <row r="23" spans="1:6" x14ac:dyDescent="0.25">
      <c r="A23" s="11"/>
      <c r="B23" s="11"/>
      <c r="C23" s="11"/>
      <c r="D23" s="11"/>
      <c r="E23" s="11"/>
      <c r="F23" s="11"/>
    </row>
  </sheetData>
  <mergeCells count="3">
    <mergeCell ref="A22:F22"/>
    <mergeCell ref="B8:I8"/>
    <mergeCell ref="B15:I15"/>
  </mergeCells>
  <hyperlinks>
    <hyperlink ref="F1" location="'BUILDER INFO-CONTACTS'!A1" display="BUILDER INFO-CONTACTS" xr:uid="{45C64DEC-993A-4D8D-B51B-06F53D246D0E}"/>
    <hyperlink ref="F2" location="TOOLS!A1" display="TOOLS" xr:uid="{97C9C61C-C4E3-403A-8F75-50726C77A1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BE76-7F91-41A7-B1F0-533624766472}">
  <sheetPr>
    <tabColor theme="9" tint="0.59999389629810485"/>
  </sheetPr>
  <dimension ref="A1:O10"/>
  <sheetViews>
    <sheetView tabSelected="1" zoomScaleNormal="100" workbookViewId="0">
      <pane ySplit="1" topLeftCell="A2" activePane="bottomLeft" state="frozen"/>
      <selection activeCell="G4" sqref="G4"/>
      <selection pane="bottomLeft" activeCell="A2" sqref="A2"/>
    </sheetView>
  </sheetViews>
  <sheetFormatPr defaultRowHeight="15" x14ac:dyDescent="0.25"/>
  <cols>
    <col min="1" max="1" width="16" customWidth="1"/>
    <col min="2" max="2" width="13.140625" hidden="1" customWidth="1"/>
    <col min="3" max="3" width="2.28515625" hidden="1" customWidth="1"/>
    <col min="4" max="4" width="2.7109375" hidden="1" customWidth="1"/>
    <col min="5" max="5" width="22.7109375" hidden="1" customWidth="1"/>
    <col min="6" max="6" width="2.7109375" hidden="1" customWidth="1"/>
    <col min="7" max="7" width="22.7109375" hidden="1" customWidth="1"/>
    <col min="8" max="8" width="10.5703125" hidden="1" customWidth="1"/>
    <col min="9" max="9" width="3.140625" customWidth="1"/>
    <col min="10" max="10" width="10.5703125" customWidth="1"/>
    <col min="11" max="11" width="6" customWidth="1"/>
    <col min="12" max="12" width="47.7109375" bestFit="1" customWidth="1"/>
    <col min="13" max="13" width="45.140625" customWidth="1"/>
    <col min="14" max="14" width="57.85546875" customWidth="1"/>
    <col min="15" max="15" width="26.42578125" customWidth="1"/>
  </cols>
  <sheetData>
    <row r="1" spans="1:15" s="29" customFormat="1" ht="45" x14ac:dyDescent="0.25">
      <c r="A1" s="54" t="s">
        <v>6</v>
      </c>
      <c r="B1" s="55" t="s">
        <v>7</v>
      </c>
      <c r="C1" s="53"/>
      <c r="D1" s="53"/>
      <c r="E1" s="53" t="s">
        <v>8</v>
      </c>
      <c r="F1" s="53"/>
      <c r="G1" s="53" t="s">
        <v>9</v>
      </c>
      <c r="H1" s="56" t="s">
        <v>10</v>
      </c>
      <c r="I1" s="57"/>
      <c r="J1" s="53" t="s">
        <v>12</v>
      </c>
      <c r="K1" s="58" t="s">
        <v>11</v>
      </c>
      <c r="L1" s="53" t="s">
        <v>9</v>
      </c>
      <c r="M1" s="53" t="s">
        <v>13</v>
      </c>
      <c r="N1" s="53" t="s">
        <v>14</v>
      </c>
      <c r="O1" s="59" t="s">
        <v>15</v>
      </c>
    </row>
    <row r="2" spans="1:15" ht="30" x14ac:dyDescent="0.25">
      <c r="A2" s="50" t="s">
        <v>124</v>
      </c>
      <c r="B2" s="97" t="s">
        <v>68</v>
      </c>
      <c r="C2" s="52"/>
      <c r="D2" s="52"/>
      <c r="E2" s="49" t="s">
        <v>83</v>
      </c>
      <c r="F2" s="49"/>
      <c r="G2" s="49"/>
      <c r="H2" s="98">
        <v>1</v>
      </c>
      <c r="I2" s="95"/>
      <c r="J2" s="118">
        <v>1098</v>
      </c>
      <c r="K2" s="67" t="s">
        <v>111</v>
      </c>
      <c r="L2" s="68" t="s">
        <v>69</v>
      </c>
      <c r="M2" s="69" t="s">
        <v>122</v>
      </c>
      <c r="N2" s="69" t="s">
        <v>120</v>
      </c>
      <c r="O2" s="65"/>
    </row>
    <row r="3" spans="1:15" x14ac:dyDescent="0.25">
      <c r="A3" s="82">
        <v>80013271</v>
      </c>
      <c r="B3" s="97" t="s">
        <v>68</v>
      </c>
      <c r="C3" s="52"/>
      <c r="D3" s="52"/>
      <c r="E3" s="49"/>
      <c r="F3" s="49"/>
      <c r="G3" s="49"/>
      <c r="H3" s="99"/>
      <c r="I3" s="95"/>
      <c r="J3" s="118">
        <f>J2*0.95</f>
        <v>1043.0999999999999</v>
      </c>
      <c r="K3" s="67" t="s">
        <v>111</v>
      </c>
      <c r="L3" s="64" t="s">
        <v>115</v>
      </c>
      <c r="M3" s="64" t="s">
        <v>119</v>
      </c>
      <c r="N3" s="64"/>
      <c r="O3" s="65"/>
    </row>
    <row r="4" spans="1:15" x14ac:dyDescent="0.25">
      <c r="A4" s="84">
        <v>80015139</v>
      </c>
      <c r="B4" s="100" t="s">
        <v>68</v>
      </c>
      <c r="C4" s="70"/>
      <c r="D4" s="70"/>
      <c r="E4" s="71"/>
      <c r="F4" s="71"/>
      <c r="G4" s="71"/>
      <c r="H4" s="101"/>
      <c r="I4" s="96"/>
      <c r="J4" s="116">
        <v>4</v>
      </c>
      <c r="K4" s="63" t="s">
        <v>111</v>
      </c>
      <c r="L4" s="64" t="s">
        <v>114</v>
      </c>
      <c r="M4" s="64" t="s">
        <v>110</v>
      </c>
      <c r="N4" s="64"/>
      <c r="O4" s="66"/>
    </row>
    <row r="5" spans="1:15" x14ac:dyDescent="0.25">
      <c r="A5" s="83">
        <v>20055210</v>
      </c>
      <c r="B5" s="100" t="s">
        <v>68</v>
      </c>
      <c r="C5" s="70"/>
      <c r="D5" s="70"/>
      <c r="E5" s="71"/>
      <c r="F5" s="71"/>
      <c r="G5" s="71"/>
      <c r="H5" s="102"/>
      <c r="I5" s="96"/>
      <c r="J5" s="117">
        <f>ROUNDUP(SUM($J$2)/400,0)</f>
        <v>3</v>
      </c>
      <c r="K5" s="63" t="s">
        <v>21</v>
      </c>
      <c r="L5" s="73" t="s">
        <v>100</v>
      </c>
      <c r="M5" s="64" t="s">
        <v>102</v>
      </c>
      <c r="N5" s="64"/>
      <c r="O5" s="65"/>
    </row>
    <row r="6" spans="1:15" x14ac:dyDescent="0.25">
      <c r="A6" s="83">
        <v>20026018</v>
      </c>
      <c r="B6" s="100" t="s">
        <v>68</v>
      </c>
      <c r="C6" s="70"/>
      <c r="D6" s="70"/>
      <c r="E6" s="71"/>
      <c r="F6" s="71"/>
      <c r="G6" s="71"/>
      <c r="H6" s="103"/>
      <c r="I6" s="96"/>
      <c r="J6" s="117">
        <f>ROUNDUP(SUM($J$2)/400,0)</f>
        <v>3</v>
      </c>
      <c r="K6" s="63" t="s">
        <v>21</v>
      </c>
      <c r="L6" s="64" t="s">
        <v>101</v>
      </c>
      <c r="M6" s="64" t="s">
        <v>102</v>
      </c>
      <c r="N6" s="64"/>
      <c r="O6" s="65"/>
    </row>
    <row r="7" spans="1:15" x14ac:dyDescent="0.25">
      <c r="A7" s="83">
        <v>20058257</v>
      </c>
      <c r="B7" s="100" t="s">
        <v>68</v>
      </c>
      <c r="C7" s="70"/>
      <c r="D7" s="70"/>
      <c r="E7" s="72"/>
      <c r="F7" s="72"/>
      <c r="G7" s="72"/>
      <c r="H7" s="103"/>
      <c r="I7" s="96"/>
      <c r="J7" s="117">
        <f>ROUNDUP(SUM($J$3)/120,0)</f>
        <v>9</v>
      </c>
      <c r="K7" s="63" t="s">
        <v>21</v>
      </c>
      <c r="L7" s="73" t="s">
        <v>108</v>
      </c>
      <c r="M7" s="74" t="s">
        <v>109</v>
      </c>
      <c r="N7" s="74"/>
      <c r="O7" s="65"/>
    </row>
    <row r="8" spans="1:15" x14ac:dyDescent="0.25">
      <c r="A8" s="83">
        <v>20034744</v>
      </c>
      <c r="B8" s="100" t="s">
        <v>68</v>
      </c>
      <c r="C8" s="70"/>
      <c r="D8" s="70"/>
      <c r="E8" s="72"/>
      <c r="F8" s="72"/>
      <c r="G8" s="72"/>
      <c r="H8" s="103"/>
      <c r="I8" s="96"/>
      <c r="J8" s="119">
        <v>1</v>
      </c>
      <c r="K8" s="63" t="s">
        <v>21</v>
      </c>
      <c r="L8" s="64" t="s">
        <v>116</v>
      </c>
      <c r="M8" s="64" t="s">
        <v>105</v>
      </c>
      <c r="N8" s="64"/>
      <c r="O8" s="65"/>
    </row>
    <row r="9" spans="1:15" x14ac:dyDescent="0.25">
      <c r="A9" s="83">
        <v>20024465</v>
      </c>
      <c r="B9" s="100" t="s">
        <v>68</v>
      </c>
      <c r="C9" s="70"/>
      <c r="D9" s="70"/>
      <c r="E9" s="72"/>
      <c r="F9" s="72"/>
      <c r="G9" s="72"/>
      <c r="H9" s="103"/>
      <c r="I9" s="96"/>
      <c r="J9" s="119">
        <v>2</v>
      </c>
      <c r="K9" s="63" t="s">
        <v>21</v>
      </c>
      <c r="L9" s="64" t="s">
        <v>112</v>
      </c>
      <c r="M9" s="64" t="s">
        <v>113</v>
      </c>
      <c r="N9" s="64"/>
      <c r="O9" s="65"/>
    </row>
    <row r="10" spans="1:15" ht="15.75" thickBot="1" x14ac:dyDescent="0.3">
      <c r="A10" s="83">
        <v>20035158</v>
      </c>
      <c r="B10" s="104" t="s">
        <v>68</v>
      </c>
      <c r="C10" s="105"/>
      <c r="D10" s="105"/>
      <c r="E10" s="106"/>
      <c r="F10" s="106"/>
      <c r="G10" s="106"/>
      <c r="H10" s="107"/>
      <c r="I10" s="96"/>
      <c r="J10" s="120">
        <v>4</v>
      </c>
      <c r="K10" s="63" t="s">
        <v>21</v>
      </c>
      <c r="L10" s="75" t="s">
        <v>107</v>
      </c>
      <c r="M10" s="64" t="s">
        <v>106</v>
      </c>
      <c r="N10" s="64"/>
      <c r="O10" s="6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5D67-BC87-4002-A756-B5C45DA29CA9}">
  <sheetPr codeName="Sheet10">
    <tabColor theme="8" tint="0.39997558519241921"/>
  </sheetPr>
  <dimension ref="A1:M24"/>
  <sheetViews>
    <sheetView workbookViewId="0">
      <pane ySplit="4" topLeftCell="A5" activePane="bottomLeft" state="frozen"/>
      <selection activeCell="G4" sqref="G4"/>
      <selection pane="bottomLeft" activeCell="G4" sqref="G4"/>
    </sheetView>
  </sheetViews>
  <sheetFormatPr defaultRowHeight="15" x14ac:dyDescent="0.25"/>
  <cols>
    <col min="1" max="1" width="8.85546875" customWidth="1"/>
    <col min="2" max="2" width="17.140625" customWidth="1"/>
    <col min="3" max="3" width="21.7109375" customWidth="1"/>
    <col min="4" max="4" width="13.140625" customWidth="1"/>
    <col min="5" max="5" width="22.140625" customWidth="1"/>
    <col min="6" max="6" width="22.7109375" customWidth="1"/>
    <col min="7" max="7" width="10.5703125" customWidth="1"/>
    <col min="8" max="8" width="6" customWidth="1"/>
    <col min="9" max="9" width="10.5703125" customWidth="1"/>
    <col min="10" max="10" width="29.85546875" customWidth="1"/>
    <col min="11" max="11" width="37.42578125" customWidth="1"/>
    <col min="12" max="12" width="57.85546875" customWidth="1"/>
    <col min="13" max="13" width="26.42578125" customWidth="1"/>
  </cols>
  <sheetData>
    <row r="1" spans="1:13" ht="15.75" x14ac:dyDescent="0.25">
      <c r="A1" s="14" t="s">
        <v>0</v>
      </c>
      <c r="B1" s="14"/>
      <c r="C1" s="14"/>
      <c r="E1" s="10"/>
      <c r="F1" s="36" t="s">
        <v>1</v>
      </c>
      <c r="G1" s="9"/>
    </row>
    <row r="2" spans="1:13" ht="15.75" x14ac:dyDescent="0.25">
      <c r="A2" s="16" t="s">
        <v>75</v>
      </c>
      <c r="B2" s="16"/>
      <c r="C2" s="16"/>
      <c r="E2" s="10"/>
      <c r="F2" s="36" t="s">
        <v>2</v>
      </c>
      <c r="G2" s="9"/>
    </row>
    <row r="3" spans="1:13" s="29" customFormat="1" ht="30" x14ac:dyDescent="0.25">
      <c r="A3" s="5" t="s">
        <v>76</v>
      </c>
      <c r="B3" s="31"/>
      <c r="C3" s="31"/>
      <c r="F3" s="32"/>
      <c r="G3" s="33" t="s">
        <v>3</v>
      </c>
      <c r="H3" s="34"/>
      <c r="I3" s="33" t="s">
        <v>3</v>
      </c>
    </row>
    <row r="4" spans="1:13" s="29" customFormat="1" ht="30" x14ac:dyDescent="0.25">
      <c r="A4" s="27" t="s">
        <v>4</v>
      </c>
      <c r="B4" s="27" t="s">
        <v>5</v>
      </c>
      <c r="C4" s="27" t="s">
        <v>6</v>
      </c>
      <c r="D4" s="27" t="s">
        <v>7</v>
      </c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42</v>
      </c>
      <c r="K4" s="27" t="s">
        <v>13</v>
      </c>
      <c r="L4" s="27" t="s">
        <v>67</v>
      </c>
      <c r="M4" s="30" t="s">
        <v>15</v>
      </c>
    </row>
    <row r="5" spans="1:13" ht="45" x14ac:dyDescent="0.25">
      <c r="A5" s="1">
        <v>3440</v>
      </c>
      <c r="B5" s="1"/>
      <c r="C5" s="1"/>
      <c r="D5" s="3" t="s">
        <v>68</v>
      </c>
      <c r="E5" s="3"/>
      <c r="F5" s="6"/>
      <c r="G5" s="6"/>
      <c r="H5" s="1" t="s">
        <v>39</v>
      </c>
      <c r="I5" s="1"/>
      <c r="J5" s="23" t="s">
        <v>77</v>
      </c>
      <c r="K5" s="18" t="s">
        <v>17</v>
      </c>
      <c r="L5" s="19" t="s">
        <v>78</v>
      </c>
      <c r="M5" s="18"/>
    </row>
    <row r="6" spans="1:13" ht="45" x14ac:dyDescent="0.25">
      <c r="A6" s="1">
        <v>3440</v>
      </c>
      <c r="B6" s="1"/>
      <c r="C6" s="1"/>
      <c r="D6" s="3" t="s">
        <v>68</v>
      </c>
      <c r="E6" s="3"/>
      <c r="F6" s="1"/>
      <c r="G6" s="1"/>
      <c r="H6" s="1" t="s">
        <v>21</v>
      </c>
      <c r="I6" s="1"/>
      <c r="J6" s="21" t="s">
        <v>44</v>
      </c>
      <c r="K6" s="21" t="s">
        <v>45</v>
      </c>
      <c r="L6" s="19" t="s">
        <v>46</v>
      </c>
      <c r="M6" s="19"/>
    </row>
    <row r="7" spans="1:13" ht="30" x14ac:dyDescent="0.25">
      <c r="A7" s="1">
        <v>3440</v>
      </c>
      <c r="B7" s="1"/>
      <c r="C7" s="1"/>
      <c r="D7" s="3" t="s">
        <v>68</v>
      </c>
      <c r="E7" s="3"/>
      <c r="F7" s="1"/>
      <c r="G7" s="1"/>
      <c r="H7" s="4" t="s">
        <v>26</v>
      </c>
      <c r="I7" s="4"/>
      <c r="J7" s="21" t="s">
        <v>44</v>
      </c>
      <c r="K7" s="21" t="s">
        <v>45</v>
      </c>
      <c r="L7" s="19" t="s">
        <v>47</v>
      </c>
      <c r="M7" s="19"/>
    </row>
    <row r="8" spans="1:13" ht="30" x14ac:dyDescent="0.25">
      <c r="A8" s="1">
        <v>3440</v>
      </c>
      <c r="B8" s="1"/>
      <c r="C8" s="1"/>
      <c r="D8" s="3" t="s">
        <v>68</v>
      </c>
      <c r="E8" s="3"/>
      <c r="F8" s="8"/>
      <c r="G8" s="8"/>
      <c r="H8" s="1" t="s">
        <v>21</v>
      </c>
      <c r="I8" s="1"/>
      <c r="J8" s="18" t="s">
        <v>48</v>
      </c>
      <c r="K8" s="21" t="s">
        <v>45</v>
      </c>
      <c r="L8" s="19" t="s">
        <v>53</v>
      </c>
      <c r="M8" s="18"/>
    </row>
    <row r="9" spans="1:13" ht="30" x14ac:dyDescent="0.25">
      <c r="A9" s="1">
        <v>3440</v>
      </c>
      <c r="B9" s="1"/>
      <c r="C9" s="1"/>
      <c r="D9" s="3" t="s">
        <v>68</v>
      </c>
      <c r="E9" s="3"/>
      <c r="F9" s="8"/>
      <c r="G9" s="8"/>
      <c r="H9" s="4" t="s">
        <v>26</v>
      </c>
      <c r="I9" s="4"/>
      <c r="J9" s="18" t="s">
        <v>48</v>
      </c>
      <c r="K9" s="21" t="s">
        <v>45</v>
      </c>
      <c r="L9" s="19" t="s">
        <v>54</v>
      </c>
      <c r="M9" s="19"/>
    </row>
    <row r="10" spans="1:13" ht="45" x14ac:dyDescent="0.25">
      <c r="A10" s="1">
        <v>3440</v>
      </c>
      <c r="B10" s="1"/>
      <c r="C10" s="1"/>
      <c r="D10" s="3" t="s">
        <v>68</v>
      </c>
      <c r="E10" s="3"/>
      <c r="F10" s="8"/>
      <c r="G10" s="8"/>
      <c r="H10" s="8" t="s">
        <v>21</v>
      </c>
      <c r="I10" s="8"/>
      <c r="J10" s="18" t="s">
        <v>70</v>
      </c>
      <c r="K10" s="20" t="s">
        <v>45</v>
      </c>
      <c r="L10" s="20" t="s">
        <v>55</v>
      </c>
      <c r="M10" s="20"/>
    </row>
    <row r="11" spans="1:13" x14ac:dyDescent="0.25">
      <c r="A11" s="1">
        <v>3440</v>
      </c>
      <c r="B11" s="1"/>
      <c r="C11" s="1"/>
      <c r="D11" s="3" t="s">
        <v>68</v>
      </c>
      <c r="E11" s="3"/>
      <c r="F11" s="8"/>
      <c r="G11" s="8"/>
      <c r="H11" s="8" t="s">
        <v>21</v>
      </c>
      <c r="I11" s="8"/>
      <c r="J11" s="18" t="s">
        <v>71</v>
      </c>
      <c r="K11" s="21" t="s">
        <v>45</v>
      </c>
      <c r="L11" s="18" t="s">
        <v>25</v>
      </c>
      <c r="M11" s="20"/>
    </row>
    <row r="12" spans="1:13" ht="30" x14ac:dyDescent="0.25">
      <c r="A12" s="1">
        <v>3440</v>
      </c>
      <c r="B12" s="1"/>
      <c r="C12" s="1"/>
      <c r="D12" s="3" t="s">
        <v>68</v>
      </c>
      <c r="E12" s="3"/>
      <c r="F12" s="8"/>
      <c r="G12" s="8"/>
      <c r="H12" s="8" t="s">
        <v>39</v>
      </c>
      <c r="I12" s="8"/>
      <c r="J12" s="18" t="s">
        <v>72</v>
      </c>
      <c r="K12" s="18" t="s">
        <v>20</v>
      </c>
      <c r="L12" s="22" t="s">
        <v>73</v>
      </c>
      <c r="M12" s="18"/>
    </row>
    <row r="13" spans="1:13" ht="30" x14ac:dyDescent="0.25">
      <c r="A13" s="1">
        <v>3440</v>
      </c>
      <c r="B13" s="1"/>
      <c r="C13" s="1"/>
      <c r="D13" s="3" t="s">
        <v>68</v>
      </c>
      <c r="E13" s="3"/>
      <c r="F13" s="12"/>
      <c r="G13" s="12"/>
      <c r="H13" s="8" t="s">
        <v>39</v>
      </c>
      <c r="I13" s="8"/>
      <c r="J13" s="18" t="s">
        <v>74</v>
      </c>
      <c r="K13" s="18" t="s">
        <v>20</v>
      </c>
      <c r="L13" s="20" t="s">
        <v>40</v>
      </c>
      <c r="M13" s="19"/>
    </row>
    <row r="14" spans="1:13" x14ac:dyDescent="0.25">
      <c r="A14" s="1">
        <v>3440</v>
      </c>
      <c r="B14" s="1"/>
      <c r="C14" s="1"/>
      <c r="D14" s="3" t="s">
        <v>68</v>
      </c>
      <c r="E14" s="3"/>
      <c r="F14" s="8"/>
      <c r="G14" s="8"/>
      <c r="H14" s="8" t="s">
        <v>26</v>
      </c>
      <c r="I14" s="8"/>
      <c r="J14" s="18" t="s">
        <v>50</v>
      </c>
      <c r="K14" s="18" t="s">
        <v>20</v>
      </c>
      <c r="L14" s="18" t="s">
        <v>56</v>
      </c>
      <c r="M14" s="20"/>
    </row>
    <row r="15" spans="1:13" x14ac:dyDescent="0.25">
      <c r="A15" s="1">
        <v>3440</v>
      </c>
      <c r="B15" s="1"/>
      <c r="C15" s="1"/>
      <c r="D15" s="3" t="s">
        <v>68</v>
      </c>
      <c r="E15" s="3"/>
      <c r="F15" s="8"/>
      <c r="G15" s="8"/>
      <c r="H15" s="8" t="s">
        <v>39</v>
      </c>
      <c r="I15" s="8"/>
      <c r="J15" s="18" t="s">
        <v>51</v>
      </c>
      <c r="K15" s="18" t="s">
        <v>20</v>
      </c>
      <c r="L15" s="20" t="s">
        <v>49</v>
      </c>
      <c r="M15" s="18"/>
    </row>
    <row r="16" spans="1:13" x14ac:dyDescent="0.25">
      <c r="A16" s="1">
        <v>3440</v>
      </c>
      <c r="B16" s="1"/>
      <c r="C16" s="1"/>
      <c r="D16" s="3" t="s">
        <v>68</v>
      </c>
      <c r="E16" s="3"/>
      <c r="F16" s="8"/>
      <c r="G16" s="8"/>
      <c r="H16" s="8" t="s">
        <v>21</v>
      </c>
      <c r="I16" s="8"/>
      <c r="J16" s="18" t="s">
        <v>41</v>
      </c>
      <c r="K16" s="18" t="s">
        <v>24</v>
      </c>
      <c r="L16" s="18" t="s">
        <v>25</v>
      </c>
      <c r="M16" s="20"/>
    </row>
    <row r="17" spans="1:9" x14ac:dyDescent="0.25">
      <c r="B17" s="131" t="s">
        <v>30</v>
      </c>
      <c r="C17" s="131"/>
      <c r="D17" s="131"/>
      <c r="E17" s="131"/>
      <c r="F17" s="131"/>
      <c r="G17" s="131"/>
      <c r="H17" s="131"/>
      <c r="I17" s="131"/>
    </row>
    <row r="20" spans="1:9" x14ac:dyDescent="0.25">
      <c r="A20" s="37" t="s">
        <v>31</v>
      </c>
      <c r="B20" s="10"/>
      <c r="C20" s="10"/>
    </row>
    <row r="21" spans="1:9" x14ac:dyDescent="0.25">
      <c r="A21" s="10"/>
      <c r="B21" s="10"/>
      <c r="C21" s="10"/>
    </row>
    <row r="22" spans="1:9" x14ac:dyDescent="0.25">
      <c r="A22" s="13" t="s">
        <v>52</v>
      </c>
      <c r="B22" s="13"/>
      <c r="C22" s="13"/>
      <c r="D22" s="11"/>
      <c r="E22" s="11"/>
      <c r="F22" s="11"/>
    </row>
    <row r="24" spans="1:9" x14ac:dyDescent="0.25">
      <c r="A24" s="130" t="s">
        <v>32</v>
      </c>
      <c r="B24" s="130"/>
      <c r="C24" s="130"/>
      <c r="D24" s="130"/>
      <c r="E24" s="130"/>
      <c r="F24" s="130"/>
    </row>
  </sheetData>
  <mergeCells count="2">
    <mergeCell ref="A24:F24"/>
    <mergeCell ref="B17:I17"/>
  </mergeCells>
  <hyperlinks>
    <hyperlink ref="F1" location="'BUILDER INFO-CONTACTS'!A1" display="BUILDER INFO-CONTACTS" xr:uid="{9A123DCA-0FE9-4C9B-B5E0-FBCF0966054D}"/>
    <hyperlink ref="F2" location="TOOLS!A1" display="TOOLS" xr:uid="{8877C5A7-1B02-450A-98AF-1EE9D35B0191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AD03-031D-4A92-B2EB-BBE20E3ACE8F}">
  <sheetPr>
    <tabColor theme="7" tint="0.59999389629810485"/>
  </sheetPr>
  <dimension ref="A1:O9"/>
  <sheetViews>
    <sheetView zoomScaleNormal="100" workbookViewId="0">
      <pane ySplit="1" topLeftCell="A2" activePane="bottomLeft" state="frozen"/>
      <selection activeCell="G4" sqref="G4"/>
      <selection pane="bottomLeft" activeCell="A2" sqref="A2"/>
    </sheetView>
  </sheetViews>
  <sheetFormatPr defaultRowHeight="15" x14ac:dyDescent="0.25"/>
  <cols>
    <col min="1" max="1" width="19.140625" customWidth="1"/>
    <col min="2" max="2" width="13.140625" hidden="1" customWidth="1"/>
    <col min="3" max="3" width="2" hidden="1" customWidth="1"/>
    <col min="4" max="4" width="2.42578125" hidden="1" customWidth="1"/>
    <col min="5" max="5" width="22.140625" hidden="1" customWidth="1"/>
    <col min="6" max="6" width="2.28515625" style="7" hidden="1" customWidth="1"/>
    <col min="7" max="7" width="18.7109375" style="7" hidden="1" customWidth="1"/>
    <col min="8" max="8" width="10.42578125" style="7" hidden="1" customWidth="1"/>
    <col min="9" max="9" width="3.140625" style="7" customWidth="1"/>
    <col min="10" max="11" width="10.5703125" style="7" customWidth="1"/>
    <col min="12" max="12" width="52.28515625" style="7" customWidth="1"/>
    <col min="13" max="13" width="62.42578125" style="7" customWidth="1"/>
    <col min="14" max="14" width="57.85546875" style="7" customWidth="1"/>
    <col min="15" max="15" width="93.85546875" bestFit="1" customWidth="1"/>
  </cols>
  <sheetData>
    <row r="1" spans="1:15" s="29" customFormat="1" ht="45" x14ac:dyDescent="0.25">
      <c r="A1" s="54" t="s">
        <v>6</v>
      </c>
      <c r="B1" s="55" t="s">
        <v>7</v>
      </c>
      <c r="C1" s="53"/>
      <c r="D1" s="53"/>
      <c r="E1" s="53" t="s">
        <v>8</v>
      </c>
      <c r="F1" s="53"/>
      <c r="G1" s="53" t="s">
        <v>9</v>
      </c>
      <c r="H1" s="56" t="s">
        <v>10</v>
      </c>
      <c r="I1" s="57"/>
      <c r="J1" s="53" t="s">
        <v>12</v>
      </c>
      <c r="K1" s="58" t="s">
        <v>11</v>
      </c>
      <c r="L1" s="53" t="s">
        <v>9</v>
      </c>
      <c r="M1" s="53" t="s">
        <v>13</v>
      </c>
      <c r="N1" s="53" t="s">
        <v>14</v>
      </c>
      <c r="O1" s="59" t="s">
        <v>15</v>
      </c>
    </row>
    <row r="2" spans="1:15" x14ac:dyDescent="0.25">
      <c r="A2" s="114" t="s">
        <v>125</v>
      </c>
      <c r="B2" s="89" t="s">
        <v>79</v>
      </c>
      <c r="C2" s="60"/>
      <c r="D2" s="60"/>
      <c r="E2" s="60" t="s">
        <v>79</v>
      </c>
      <c r="F2" s="61"/>
      <c r="G2" s="61"/>
      <c r="H2" s="90"/>
      <c r="I2" s="86"/>
      <c r="J2" s="121">
        <v>1250</v>
      </c>
      <c r="K2" s="62" t="s">
        <v>39</v>
      </c>
      <c r="L2" s="44" t="s">
        <v>99</v>
      </c>
      <c r="M2" s="45" t="s">
        <v>80</v>
      </c>
      <c r="N2" s="45"/>
      <c r="O2" s="46"/>
    </row>
    <row r="3" spans="1:15" x14ac:dyDescent="0.25">
      <c r="A3" s="83">
        <v>80013385</v>
      </c>
      <c r="B3" s="92" t="s">
        <v>79</v>
      </c>
      <c r="C3" s="77"/>
      <c r="D3" s="77"/>
      <c r="E3" s="77"/>
      <c r="F3" s="78"/>
      <c r="G3" s="78"/>
      <c r="H3" s="93"/>
      <c r="I3" s="87"/>
      <c r="J3" s="123">
        <v>1</v>
      </c>
      <c r="K3" s="63" t="s">
        <v>21</v>
      </c>
      <c r="L3" s="64" t="s">
        <v>89</v>
      </c>
      <c r="M3" s="64" t="s">
        <v>98</v>
      </c>
      <c r="N3" s="64"/>
      <c r="O3" s="79"/>
    </row>
    <row r="4" spans="1:15" x14ac:dyDescent="0.25">
      <c r="A4" s="83">
        <v>20035164</v>
      </c>
      <c r="B4" s="92" t="s">
        <v>79</v>
      </c>
      <c r="C4" s="77"/>
      <c r="D4" s="77"/>
      <c r="E4" s="77"/>
      <c r="F4" s="78"/>
      <c r="G4" s="78"/>
      <c r="H4" s="93"/>
      <c r="I4" s="87"/>
      <c r="J4" s="124">
        <v>1</v>
      </c>
      <c r="K4" s="63" t="s">
        <v>21</v>
      </c>
      <c r="L4" s="64" t="s">
        <v>90</v>
      </c>
      <c r="M4" s="64" t="s">
        <v>93</v>
      </c>
      <c r="N4" s="64"/>
      <c r="O4" s="79"/>
    </row>
    <row r="5" spans="1:15" x14ac:dyDescent="0.25">
      <c r="A5" s="83">
        <v>20047880</v>
      </c>
      <c r="B5" s="92" t="s">
        <v>79</v>
      </c>
      <c r="C5" s="77"/>
      <c r="D5" s="77"/>
      <c r="E5" s="77"/>
      <c r="F5" s="78"/>
      <c r="G5" s="78"/>
      <c r="H5" s="93"/>
      <c r="I5" s="87"/>
      <c r="J5" s="124">
        <v>2</v>
      </c>
      <c r="K5" s="63" t="s">
        <v>21</v>
      </c>
      <c r="L5" s="64" t="s">
        <v>103</v>
      </c>
      <c r="M5" s="64" t="s">
        <v>94</v>
      </c>
      <c r="N5" s="64"/>
      <c r="O5" s="64"/>
    </row>
    <row r="6" spans="1:15" x14ac:dyDescent="0.25">
      <c r="A6" s="83">
        <v>20053421</v>
      </c>
      <c r="B6" s="92" t="s">
        <v>79</v>
      </c>
      <c r="C6" s="77"/>
      <c r="D6" s="77"/>
      <c r="E6" s="77"/>
      <c r="F6" s="78"/>
      <c r="G6" s="78"/>
      <c r="H6" s="93"/>
      <c r="I6" s="87"/>
      <c r="J6" s="124">
        <v>1</v>
      </c>
      <c r="K6" s="63" t="s">
        <v>21</v>
      </c>
      <c r="L6" s="64" t="s">
        <v>91</v>
      </c>
      <c r="M6" s="64" t="s">
        <v>104</v>
      </c>
      <c r="N6" s="64"/>
      <c r="O6" s="80"/>
    </row>
    <row r="7" spans="1:15" x14ac:dyDescent="0.25">
      <c r="A7" s="83">
        <v>20035074</v>
      </c>
      <c r="B7" s="92" t="s">
        <v>79</v>
      </c>
      <c r="C7" s="77"/>
      <c r="D7" s="77"/>
      <c r="E7" s="77"/>
      <c r="F7" s="78"/>
      <c r="G7" s="78" t="s">
        <v>123</v>
      </c>
      <c r="H7" s="93"/>
      <c r="I7" s="87"/>
      <c r="J7" s="125">
        <v>1</v>
      </c>
      <c r="K7" s="63" t="s">
        <v>21</v>
      </c>
      <c r="L7" s="64" t="s">
        <v>92</v>
      </c>
      <c r="M7" s="64" t="s">
        <v>95</v>
      </c>
      <c r="N7" s="64"/>
      <c r="O7" s="64"/>
    </row>
    <row r="8" spans="1:15" x14ac:dyDescent="0.25">
      <c r="A8" s="83">
        <v>80002484</v>
      </c>
      <c r="B8" s="92" t="s">
        <v>79</v>
      </c>
      <c r="C8" s="77"/>
      <c r="D8" s="77"/>
      <c r="E8" s="77"/>
      <c r="F8" s="78"/>
      <c r="G8" s="78"/>
      <c r="H8" s="93"/>
      <c r="I8" s="87"/>
      <c r="J8" s="126">
        <f>J6</f>
        <v>1</v>
      </c>
      <c r="K8" s="63" t="s">
        <v>21</v>
      </c>
      <c r="L8" s="64" t="s">
        <v>88</v>
      </c>
      <c r="M8" s="64" t="s">
        <v>97</v>
      </c>
      <c r="N8" s="64"/>
      <c r="O8" s="79"/>
    </row>
    <row r="9" spans="1:15" x14ac:dyDescent="0.25">
      <c r="A9" s="85">
        <v>80013036</v>
      </c>
      <c r="B9" s="91" t="s">
        <v>79</v>
      </c>
      <c r="C9" s="76"/>
      <c r="D9" s="76"/>
      <c r="E9" s="76"/>
      <c r="F9" s="81"/>
      <c r="G9" s="81"/>
      <c r="H9" s="94"/>
      <c r="I9" s="88"/>
      <c r="J9" s="122">
        <v>82</v>
      </c>
      <c r="K9" s="63" t="s">
        <v>39</v>
      </c>
      <c r="L9" s="64" t="s">
        <v>87</v>
      </c>
      <c r="M9" s="64" t="s">
        <v>96</v>
      </c>
      <c r="N9" s="64"/>
      <c r="O9" s="69"/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0CBF4024FA14BB1F15229CA795C6B" ma:contentTypeVersion="6" ma:contentTypeDescription="Create a new document." ma:contentTypeScope="" ma:versionID="6bffadbf5497ad44b25f386124f3e881">
  <xsd:schema xmlns:xsd="http://www.w3.org/2001/XMLSchema" xmlns:xs="http://www.w3.org/2001/XMLSchema" xmlns:p="http://schemas.microsoft.com/office/2006/metadata/properties" xmlns:ns2="8f37c15c-d040-4a05-8a14-1058ae68c280" xmlns:ns3="9290151e-47bf-42f4-bb8b-ee92299b7707" targetNamespace="http://schemas.microsoft.com/office/2006/metadata/properties" ma:root="true" ma:fieldsID="ddc35465d9337a7070d2f216ba900eab" ns2:_="" ns3:_="">
    <xsd:import namespace="8f37c15c-d040-4a05-8a14-1058ae68c280"/>
    <xsd:import namespace="9290151e-47bf-42f4-bb8b-ee92299b7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7c15c-d040-4a05-8a14-1058ae68c2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0151e-47bf-42f4-bb8b-ee92299b77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290151e-47bf-42f4-bb8b-ee92299b7707">
      <UserInfo>
        <DisplayName>Matthew Farrell</DisplayName>
        <AccountId>14</AccountId>
        <AccountType/>
      </UserInfo>
      <UserInfo>
        <DisplayName>Janise Gentry</DisplayName>
        <AccountId>17</AccountId>
        <AccountType/>
      </UserInfo>
      <UserInfo>
        <DisplayName>Jennifer Walton</DisplayName>
        <AccountId>23</AccountId>
        <AccountType/>
      </UserInfo>
      <UserInfo>
        <DisplayName>Travis Archuleta</DisplayName>
        <AccountId>155</AccountId>
        <AccountType/>
      </UserInfo>
      <UserInfo>
        <DisplayName>Ani Hunter</DisplayName>
        <AccountId>154</AccountId>
        <AccountType/>
      </UserInfo>
      <UserInfo>
        <DisplayName>Donna Ward</DisplayName>
        <AccountId>19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056C3A-41AF-4327-98C5-B32BDCE78D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2554B3-ACDD-4C19-9E73-C3EBCD35E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7c15c-d040-4a05-8a14-1058ae68c280"/>
    <ds:schemaRef ds:uri="9290151e-47bf-42f4-bb8b-ee92299b7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B67D38-B133-462D-B5BB-827CDFEA5804}">
  <ds:schemaRefs>
    <ds:schemaRef ds:uri="9290151e-47bf-42f4-bb8b-ee92299b7707"/>
    <ds:schemaRef ds:uri="http://purl.org/dc/elements/1.1/"/>
    <ds:schemaRef ds:uri="8f37c15c-d040-4a05-8a14-1058ae68c280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Revision Log</vt:lpstr>
      <vt:lpstr>CARPET</vt:lpstr>
      <vt:lpstr>SAND AND FINISH AND POLY COAT</vt:lpstr>
      <vt:lpstr>LVP.EVP</vt:lpstr>
      <vt:lpstr>VCT.LVT.ETC</vt:lpstr>
      <vt:lpstr>WALL TILE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Alisha Bourgeois</dc:creator>
  <cp:keywords/>
  <dc:description/>
  <cp:lastModifiedBy>Mangesh Kamat</cp:lastModifiedBy>
  <cp:revision/>
  <dcterms:created xsi:type="dcterms:W3CDTF">2020-12-14T14:18:03Z</dcterms:created>
  <dcterms:modified xsi:type="dcterms:W3CDTF">2026-03-03T21:04:39Z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0x0101003070CBF4024FA14BB1F15229CA795C6B</vt:lpwstr>
  </property>
</Properties>
</file>